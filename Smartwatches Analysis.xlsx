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hup\Desktop\Maynooth University\Sem1\Data Driven Marketing- A\Assignments\Group Assignment\DDM Group Project\Github\"/>
    </mc:Choice>
  </mc:AlternateContent>
  <xr:revisionPtr revIDLastSave="0" documentId="13_ncr:1_{5477438A-E30D-48C1-8DBC-00B57C810974}" xr6:coauthVersionLast="47" xr6:coauthVersionMax="47" xr10:uidLastSave="{00000000-0000-0000-0000-000000000000}"/>
  <bookViews>
    <workbookView xWindow="-110" yWindow="-110" windowWidth="19420" windowHeight="10300" firstSheet="10" activeTab="13" xr2:uid="{00000000-000D-0000-FFFF-FFFF00000000}"/>
  </bookViews>
  <sheets>
    <sheet name="Profiles" sheetId="9" r:id="rId1"/>
    <sheet name="Dummy Variables" sheetId="4" r:id="rId2"/>
    <sheet name="Interview Response " sheetId="21" r:id="rId3"/>
    <sheet name="Cleaned Data" sheetId="5" r:id="rId4"/>
    <sheet name="Normalization" sheetId="26" r:id="rId5"/>
    <sheet name="Correlation" sheetId="25" r:id="rId6"/>
    <sheet name="Response " sheetId="6" r:id="rId7"/>
    <sheet name="Data Normalization Iteration 2" sheetId="29" r:id="rId8"/>
    <sheet name="Normalized Data iteration 2" sheetId="30" r:id="rId9"/>
    <sheet name="Correlation iteration 2" sheetId="33" r:id="rId10"/>
    <sheet name="Cluster" sheetId="36" r:id="rId11"/>
    <sheet name="Cluster and MS Analysis " sheetId="37" r:id="rId12"/>
    <sheet name="Market Segmentation Profile" sheetId="39" r:id="rId13"/>
    <sheet name="Analysis" sheetId="20" r:id="rId14"/>
  </sheets>
  <definedNames>
    <definedName name="_xlnm._FilterDatabase" localSheetId="3" hidden="1">'Cleaned Data'!$O$1:$V$51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29" l="1"/>
  <c r="F4" i="29" l="1" a="1"/>
  <c r="F4" i="29" s="1"/>
  <c r="C42" i="20"/>
  <c r="C46" i="20"/>
  <c r="H2" i="4" l="1"/>
  <c r="N81" i="20" l="1"/>
  <c r="M82" i="20"/>
  <c r="M83" i="20"/>
  <c r="M84" i="20"/>
  <c r="M85" i="20"/>
  <c r="M81" i="20"/>
  <c r="B80" i="20" a="1"/>
  <c r="B80" i="20" s="1"/>
  <c r="R59" i="29" l="1"/>
  <c r="Q59" i="29"/>
  <c r="O59" i="29"/>
  <c r="N59" i="29"/>
  <c r="L59" i="29"/>
  <c r="H59" i="29"/>
  <c r="G59" i="29"/>
  <c r="T59" i="29" s="1"/>
  <c r="F59" i="29" a="1"/>
  <c r="F59" i="29" s="1"/>
  <c r="D59" i="29"/>
  <c r="R58" i="29"/>
  <c r="Q58" i="29"/>
  <c r="O58" i="29"/>
  <c r="N58" i="29"/>
  <c r="L58" i="29"/>
  <c r="J58" i="29"/>
  <c r="H58" i="29"/>
  <c r="G58" i="29"/>
  <c r="F58" i="29" a="1"/>
  <c r="F58" i="29" s="1"/>
  <c r="D58" i="29"/>
  <c r="C58" i="29"/>
  <c r="R57" i="29"/>
  <c r="Q57" i="29"/>
  <c r="O57" i="29"/>
  <c r="N57" i="29"/>
  <c r="L57" i="29"/>
  <c r="J57" i="29"/>
  <c r="H57" i="29"/>
  <c r="G57" i="29"/>
  <c r="F57" i="29" a="1"/>
  <c r="F57" i="29" s="1"/>
  <c r="D57" i="29"/>
  <c r="R56" i="29"/>
  <c r="Q56" i="29"/>
  <c r="O56" i="29"/>
  <c r="N56" i="29"/>
  <c r="L56" i="29"/>
  <c r="J56" i="29"/>
  <c r="H56" i="29"/>
  <c r="G56" i="29"/>
  <c r="F56" i="29" a="1"/>
  <c r="F56" i="29" s="1"/>
  <c r="C56" i="29"/>
  <c r="S56" i="29" s="1"/>
  <c r="R55" i="29"/>
  <c r="Q55" i="29"/>
  <c r="O55" i="29"/>
  <c r="N55" i="29"/>
  <c r="L55" i="29"/>
  <c r="J55" i="29"/>
  <c r="H55" i="29"/>
  <c r="G55" i="29"/>
  <c r="T55" i="29" s="1"/>
  <c r="F55" i="29" a="1"/>
  <c r="F55" i="29" s="1"/>
  <c r="D55" i="29"/>
  <c r="C55" i="29"/>
  <c r="R54" i="29"/>
  <c r="Q54" i="29"/>
  <c r="O54" i="29"/>
  <c r="N54" i="29"/>
  <c r="T54" i="29" s="1"/>
  <c r="L54" i="29"/>
  <c r="J54" i="29"/>
  <c r="H54" i="29"/>
  <c r="G54" i="29"/>
  <c r="F54" i="29" a="1"/>
  <c r="F54" i="29" s="1"/>
  <c r="C54" i="29"/>
  <c r="S54" i="29" s="1"/>
  <c r="R53" i="29"/>
  <c r="Q53" i="29"/>
  <c r="O53" i="29"/>
  <c r="N53" i="29"/>
  <c r="L53" i="29"/>
  <c r="J53" i="29"/>
  <c r="H53" i="29"/>
  <c r="G53" i="29"/>
  <c r="F53" i="29" a="1"/>
  <c r="F53" i="29" s="1"/>
  <c r="D53" i="29"/>
  <c r="R52" i="29"/>
  <c r="Q52" i="29"/>
  <c r="O52" i="29"/>
  <c r="N52" i="29"/>
  <c r="L52" i="29"/>
  <c r="J52" i="29"/>
  <c r="H52" i="29"/>
  <c r="G52" i="29"/>
  <c r="F52" i="29" a="1"/>
  <c r="F52" i="29" s="1"/>
  <c r="D52" i="29"/>
  <c r="R51" i="29"/>
  <c r="Q51" i="29"/>
  <c r="O51" i="29"/>
  <c r="N51" i="29"/>
  <c r="L51" i="29"/>
  <c r="J51" i="29"/>
  <c r="H51" i="29"/>
  <c r="G51" i="29"/>
  <c r="F51" i="29" a="1"/>
  <c r="F51" i="29" s="1"/>
  <c r="D51" i="29"/>
  <c r="R50" i="29"/>
  <c r="Q50" i="29"/>
  <c r="O50" i="29"/>
  <c r="N50" i="29"/>
  <c r="L50" i="29"/>
  <c r="J50" i="29"/>
  <c r="H50" i="29"/>
  <c r="G50" i="29"/>
  <c r="F50" i="29" a="1"/>
  <c r="F50" i="29" s="1"/>
  <c r="C50" i="29"/>
  <c r="R49" i="29"/>
  <c r="Q49" i="29"/>
  <c r="O49" i="29"/>
  <c r="N49" i="29"/>
  <c r="L49" i="29"/>
  <c r="J49" i="29"/>
  <c r="H49" i="29"/>
  <c r="G49" i="29"/>
  <c r="F49" i="29" a="1"/>
  <c r="F49" i="29" s="1"/>
  <c r="D49" i="29"/>
  <c r="C49" i="29"/>
  <c r="R48" i="29"/>
  <c r="Q48" i="29"/>
  <c r="O48" i="29"/>
  <c r="N48" i="29"/>
  <c r="L48" i="29"/>
  <c r="J48" i="29"/>
  <c r="H48" i="29"/>
  <c r="G48" i="29"/>
  <c r="T48" i="29" s="1"/>
  <c r="F48" i="29" a="1"/>
  <c r="F48" i="29" s="1"/>
  <c r="C48" i="29"/>
  <c r="R47" i="29"/>
  <c r="Q47" i="29"/>
  <c r="O47" i="29"/>
  <c r="N47" i="29"/>
  <c r="L47" i="29"/>
  <c r="J47" i="29"/>
  <c r="H47" i="29"/>
  <c r="G47" i="29"/>
  <c r="F47" i="29" a="1"/>
  <c r="F47" i="29" s="1"/>
  <c r="C47" i="29"/>
  <c r="S47" i="29" s="1"/>
  <c r="R46" i="29"/>
  <c r="Q46" i="29"/>
  <c r="O46" i="29"/>
  <c r="N46" i="29"/>
  <c r="L46" i="29"/>
  <c r="J46" i="29"/>
  <c r="H46" i="29"/>
  <c r="G46" i="29"/>
  <c r="F46" i="29" a="1"/>
  <c r="F46" i="29" s="1"/>
  <c r="C46" i="29"/>
  <c r="S46" i="29" s="1"/>
  <c r="R45" i="29"/>
  <c r="Q45" i="29"/>
  <c r="O45" i="29"/>
  <c r="N45" i="29"/>
  <c r="L45" i="29"/>
  <c r="J45" i="29"/>
  <c r="H45" i="29"/>
  <c r="G45" i="29"/>
  <c r="F45" i="29" a="1"/>
  <c r="F45" i="29" s="1"/>
  <c r="D45" i="29"/>
  <c r="R44" i="29"/>
  <c r="Q44" i="29"/>
  <c r="O44" i="29"/>
  <c r="N44" i="29"/>
  <c r="L44" i="29"/>
  <c r="J44" i="29"/>
  <c r="H44" i="29"/>
  <c r="G44" i="29"/>
  <c r="F44" i="29" a="1"/>
  <c r="F44" i="29" s="1"/>
  <c r="D44" i="29"/>
  <c r="R43" i="29"/>
  <c r="Q43" i="29"/>
  <c r="O43" i="29"/>
  <c r="N43" i="29"/>
  <c r="L43" i="29"/>
  <c r="J43" i="29"/>
  <c r="H43" i="29"/>
  <c r="G43" i="29"/>
  <c r="F43" i="29" a="1"/>
  <c r="F43" i="29" s="1"/>
  <c r="D43" i="29"/>
  <c r="R42" i="29"/>
  <c r="Q42" i="29"/>
  <c r="O42" i="29"/>
  <c r="N42" i="29"/>
  <c r="L42" i="29"/>
  <c r="J42" i="29"/>
  <c r="H42" i="29"/>
  <c r="G42" i="29"/>
  <c r="F42" i="29" a="1"/>
  <c r="F42" i="29" s="1"/>
  <c r="C42" i="29"/>
  <c r="R41" i="29"/>
  <c r="Q41" i="29"/>
  <c r="O41" i="29"/>
  <c r="N41" i="29"/>
  <c r="L41" i="29"/>
  <c r="J41" i="29"/>
  <c r="H41" i="29"/>
  <c r="G41" i="29"/>
  <c r="F41" i="29" a="1"/>
  <c r="F41" i="29" s="1"/>
  <c r="C41" i="29"/>
  <c r="S41" i="29" s="1"/>
  <c r="R40" i="29"/>
  <c r="Q40" i="29"/>
  <c r="O40" i="29"/>
  <c r="N40" i="29"/>
  <c r="L40" i="29"/>
  <c r="J40" i="29"/>
  <c r="H40" i="29"/>
  <c r="G40" i="29"/>
  <c r="F40" i="29" a="1"/>
  <c r="F40" i="29" s="1"/>
  <c r="C40" i="29"/>
  <c r="R39" i="29"/>
  <c r="Q39" i="29"/>
  <c r="O39" i="29"/>
  <c r="N39" i="29"/>
  <c r="L39" i="29"/>
  <c r="J39" i="29"/>
  <c r="H39" i="29"/>
  <c r="G39" i="29"/>
  <c r="T39" i="29" s="1"/>
  <c r="F39" i="29" a="1"/>
  <c r="F39" i="29" s="1"/>
  <c r="C39" i="29"/>
  <c r="R38" i="29"/>
  <c r="Q38" i="29"/>
  <c r="O38" i="29"/>
  <c r="N38" i="29"/>
  <c r="T38" i="29" s="1"/>
  <c r="L38" i="29"/>
  <c r="J38" i="29"/>
  <c r="H38" i="29"/>
  <c r="G38" i="29"/>
  <c r="F38" i="29" a="1"/>
  <c r="F38" i="29" s="1"/>
  <c r="C38" i="29"/>
  <c r="S38" i="29" s="1"/>
  <c r="R37" i="29"/>
  <c r="Q37" i="29"/>
  <c r="O37" i="29"/>
  <c r="N37" i="29"/>
  <c r="L37" i="29"/>
  <c r="J37" i="29"/>
  <c r="H37" i="29"/>
  <c r="G37" i="29"/>
  <c r="F37" i="29" a="1"/>
  <c r="F37" i="29" s="1"/>
  <c r="D37" i="29"/>
  <c r="R36" i="29"/>
  <c r="Q36" i="29"/>
  <c r="O36" i="29"/>
  <c r="N36" i="29"/>
  <c r="L36" i="29"/>
  <c r="J36" i="29"/>
  <c r="H36" i="29"/>
  <c r="G36" i="29"/>
  <c r="T36" i="29" s="1"/>
  <c r="F36" i="29" a="1"/>
  <c r="F36" i="29" s="1"/>
  <c r="D36" i="29"/>
  <c r="R35" i="29"/>
  <c r="Q35" i="29"/>
  <c r="O35" i="29"/>
  <c r="N35" i="29"/>
  <c r="L35" i="29"/>
  <c r="J35" i="29"/>
  <c r="H35" i="29"/>
  <c r="G35" i="29"/>
  <c r="T35" i="29" s="1"/>
  <c r="F35" i="29" a="1"/>
  <c r="F35" i="29" s="1"/>
  <c r="D35" i="29"/>
  <c r="R34" i="29"/>
  <c r="Q34" i="29"/>
  <c r="O34" i="29"/>
  <c r="N34" i="29"/>
  <c r="L34" i="29"/>
  <c r="J34" i="29"/>
  <c r="H34" i="29"/>
  <c r="G34" i="29"/>
  <c r="F34" i="29" a="1"/>
  <c r="F34" i="29" s="1"/>
  <c r="C34" i="29"/>
  <c r="R33" i="29"/>
  <c r="Q33" i="29"/>
  <c r="O33" i="29"/>
  <c r="N33" i="29"/>
  <c r="T33" i="29" s="1"/>
  <c r="L33" i="29"/>
  <c r="J33" i="29"/>
  <c r="H33" i="29"/>
  <c r="G33" i="29"/>
  <c r="F33" i="29" a="1"/>
  <c r="F33" i="29" s="1"/>
  <c r="D33" i="29"/>
  <c r="R32" i="29"/>
  <c r="Q32" i="29"/>
  <c r="O32" i="29"/>
  <c r="N32" i="29"/>
  <c r="L32" i="29"/>
  <c r="J32" i="29"/>
  <c r="H32" i="29"/>
  <c r="G32" i="29"/>
  <c r="T32" i="29" s="1"/>
  <c r="F32" i="29" a="1"/>
  <c r="F32" i="29" s="1"/>
  <c r="D32" i="29"/>
  <c r="C32" i="29"/>
  <c r="R31" i="29"/>
  <c r="Q31" i="29"/>
  <c r="O31" i="29"/>
  <c r="N31" i="29"/>
  <c r="L31" i="29"/>
  <c r="J31" i="29"/>
  <c r="H31" i="29"/>
  <c r="G31" i="29"/>
  <c r="F31" i="29" a="1"/>
  <c r="F31" i="29" s="1"/>
  <c r="D31" i="29"/>
  <c r="R30" i="29"/>
  <c r="Q30" i="29"/>
  <c r="O30" i="29"/>
  <c r="N30" i="29"/>
  <c r="L30" i="29"/>
  <c r="J30" i="29"/>
  <c r="H30" i="29"/>
  <c r="G30" i="29"/>
  <c r="F30" i="29" a="1"/>
  <c r="F30" i="29" s="1"/>
  <c r="C30" i="29"/>
  <c r="S30" i="29" s="1"/>
  <c r="R29" i="29"/>
  <c r="Q29" i="29"/>
  <c r="O29" i="29"/>
  <c r="N29" i="29"/>
  <c r="L29" i="29"/>
  <c r="J29" i="29"/>
  <c r="H29" i="29"/>
  <c r="G29" i="29"/>
  <c r="F29" i="29" a="1"/>
  <c r="F29" i="29" s="1"/>
  <c r="D29" i="29"/>
  <c r="R28" i="29"/>
  <c r="Q28" i="29"/>
  <c r="O28" i="29"/>
  <c r="N28" i="29"/>
  <c r="L28" i="29"/>
  <c r="J28" i="29"/>
  <c r="H28" i="29"/>
  <c r="G28" i="29"/>
  <c r="F28" i="29" a="1"/>
  <c r="F28" i="29" s="1"/>
  <c r="D28" i="29"/>
  <c r="R27" i="29"/>
  <c r="Q27" i="29"/>
  <c r="O27" i="29"/>
  <c r="N27" i="29"/>
  <c r="L27" i="29"/>
  <c r="J27" i="29"/>
  <c r="H27" i="29"/>
  <c r="G27" i="29"/>
  <c r="F27" i="29" a="1"/>
  <c r="F27" i="29" s="1"/>
  <c r="D27" i="29"/>
  <c r="R26" i="29"/>
  <c r="Q26" i="29"/>
  <c r="O26" i="29"/>
  <c r="N26" i="29"/>
  <c r="L26" i="29"/>
  <c r="J26" i="29"/>
  <c r="H26" i="29"/>
  <c r="G26" i="29"/>
  <c r="F26" i="29" a="1"/>
  <c r="F26" i="29" s="1"/>
  <c r="D26" i="29"/>
  <c r="C26" i="29"/>
  <c r="R25" i="29"/>
  <c r="Q25" i="29"/>
  <c r="O25" i="29"/>
  <c r="N25" i="29"/>
  <c r="L25" i="29"/>
  <c r="J25" i="29"/>
  <c r="H25" i="29"/>
  <c r="G25" i="29"/>
  <c r="F25" i="29" a="1"/>
  <c r="F25" i="29" s="1"/>
  <c r="D25" i="29"/>
  <c r="R24" i="29"/>
  <c r="Q24" i="29"/>
  <c r="O24" i="29"/>
  <c r="N24" i="29"/>
  <c r="L24" i="29"/>
  <c r="J24" i="29"/>
  <c r="H24" i="29"/>
  <c r="G24" i="29"/>
  <c r="F24" i="29" a="1"/>
  <c r="F24" i="29" s="1"/>
  <c r="D24" i="29"/>
  <c r="R23" i="29"/>
  <c r="Q23" i="29"/>
  <c r="O23" i="29"/>
  <c r="N23" i="29"/>
  <c r="L23" i="29"/>
  <c r="J23" i="29"/>
  <c r="H23" i="29"/>
  <c r="G23" i="29"/>
  <c r="F23" i="29" a="1"/>
  <c r="F23" i="29" s="1"/>
  <c r="D23" i="29"/>
  <c r="C23" i="29"/>
  <c r="S23" i="29" s="1"/>
  <c r="R22" i="29"/>
  <c r="Q22" i="29"/>
  <c r="O22" i="29"/>
  <c r="N22" i="29"/>
  <c r="L22" i="29"/>
  <c r="J22" i="29"/>
  <c r="H22" i="29"/>
  <c r="G22" i="29"/>
  <c r="F22" i="29" a="1"/>
  <c r="F22" i="29" s="1"/>
  <c r="C22" i="29"/>
  <c r="S22" i="29" s="1"/>
  <c r="R21" i="29"/>
  <c r="Q21" i="29"/>
  <c r="O21" i="29"/>
  <c r="N21" i="29"/>
  <c r="L21" i="29"/>
  <c r="J21" i="29"/>
  <c r="H21" i="29"/>
  <c r="G21" i="29"/>
  <c r="T21" i="29" s="1"/>
  <c r="F21" i="29" a="1"/>
  <c r="F21" i="29" s="1"/>
  <c r="D21" i="29"/>
  <c r="R20" i="29"/>
  <c r="Q20" i="29"/>
  <c r="O20" i="29"/>
  <c r="N20" i="29"/>
  <c r="L20" i="29"/>
  <c r="J20" i="29"/>
  <c r="H20" i="29"/>
  <c r="G20" i="29"/>
  <c r="F20" i="29" a="1"/>
  <c r="F20" i="29" s="1"/>
  <c r="D20" i="29"/>
  <c r="R19" i="29"/>
  <c r="Q19" i="29"/>
  <c r="O19" i="29"/>
  <c r="N19" i="29"/>
  <c r="L19" i="29"/>
  <c r="J19" i="29"/>
  <c r="H19" i="29"/>
  <c r="G19" i="29"/>
  <c r="F19" i="29" a="1"/>
  <c r="F19" i="29" s="1"/>
  <c r="D19" i="29"/>
  <c r="R18" i="29"/>
  <c r="Q18" i="29"/>
  <c r="O18" i="29"/>
  <c r="N18" i="29"/>
  <c r="L18" i="29"/>
  <c r="J18" i="29"/>
  <c r="H18" i="29"/>
  <c r="G18" i="29"/>
  <c r="F18" i="29" a="1"/>
  <c r="F18" i="29" s="1"/>
  <c r="C18" i="29"/>
  <c r="R17" i="29"/>
  <c r="Q17" i="29"/>
  <c r="O17" i="29"/>
  <c r="N17" i="29"/>
  <c r="L17" i="29"/>
  <c r="J17" i="29"/>
  <c r="H17" i="29"/>
  <c r="G17" i="29"/>
  <c r="F17" i="29" a="1"/>
  <c r="F17" i="29" s="1"/>
  <c r="D17" i="29"/>
  <c r="C17" i="29"/>
  <c r="R16" i="29"/>
  <c r="Q16" i="29"/>
  <c r="O16" i="29"/>
  <c r="N16" i="29"/>
  <c r="L16" i="29"/>
  <c r="J16" i="29"/>
  <c r="H16" i="29"/>
  <c r="G16" i="29"/>
  <c r="F16" i="29" a="1"/>
  <c r="F16" i="29" s="1"/>
  <c r="C16" i="29"/>
  <c r="R15" i="29"/>
  <c r="Q15" i="29"/>
  <c r="O15" i="29"/>
  <c r="N15" i="29"/>
  <c r="L15" i="29"/>
  <c r="J15" i="29"/>
  <c r="H15" i="29"/>
  <c r="G15" i="29"/>
  <c r="F15" i="29" a="1"/>
  <c r="F15" i="29" s="1"/>
  <c r="D15" i="29"/>
  <c r="R14" i="29"/>
  <c r="Q14" i="29"/>
  <c r="O14" i="29"/>
  <c r="N14" i="29"/>
  <c r="L14" i="29"/>
  <c r="J14" i="29"/>
  <c r="H14" i="29"/>
  <c r="G14" i="29"/>
  <c r="F14" i="29" a="1"/>
  <c r="F14" i="29" s="1"/>
  <c r="C14" i="29"/>
  <c r="S14" i="29" s="1"/>
  <c r="R13" i="29"/>
  <c r="Q13" i="29"/>
  <c r="O13" i="29"/>
  <c r="N13" i="29"/>
  <c r="L13" i="29"/>
  <c r="J13" i="29"/>
  <c r="H13" i="29"/>
  <c r="G13" i="29"/>
  <c r="F13" i="29" a="1"/>
  <c r="F13" i="29" s="1"/>
  <c r="C13" i="29"/>
  <c r="S13" i="29" s="1"/>
  <c r="R12" i="29"/>
  <c r="Q12" i="29"/>
  <c r="O12" i="29"/>
  <c r="N12" i="29"/>
  <c r="L12" i="29"/>
  <c r="J12" i="29"/>
  <c r="H12" i="29"/>
  <c r="G12" i="29"/>
  <c r="F12" i="29" a="1"/>
  <c r="F12" i="29" s="1"/>
  <c r="C12" i="29"/>
  <c r="S12" i="29" s="1"/>
  <c r="R11" i="29"/>
  <c r="Q11" i="29"/>
  <c r="O11" i="29"/>
  <c r="N11" i="29"/>
  <c r="L11" i="29"/>
  <c r="J11" i="29"/>
  <c r="H11" i="29"/>
  <c r="G11" i="29"/>
  <c r="F11" i="29" a="1"/>
  <c r="F11" i="29" s="1"/>
  <c r="D11" i="29"/>
  <c r="R10" i="29"/>
  <c r="Q10" i="29"/>
  <c r="O10" i="29"/>
  <c r="N10" i="29"/>
  <c r="T10" i="29" s="1"/>
  <c r="L10" i="29"/>
  <c r="J10" i="29"/>
  <c r="H10" i="29"/>
  <c r="G10" i="29"/>
  <c r="F10" i="29" a="1"/>
  <c r="F10" i="29" s="1"/>
  <c r="D10" i="29"/>
  <c r="R9" i="29"/>
  <c r="Q9" i="29"/>
  <c r="O9" i="29"/>
  <c r="N9" i="29"/>
  <c r="L9" i="29"/>
  <c r="J9" i="29"/>
  <c r="H9" i="29"/>
  <c r="G9" i="29"/>
  <c r="F9" i="29" a="1"/>
  <c r="F9" i="29" s="1"/>
  <c r="C9" i="29"/>
  <c r="S9" i="29" s="1"/>
  <c r="R8" i="29"/>
  <c r="Q8" i="29"/>
  <c r="O8" i="29"/>
  <c r="N8" i="29"/>
  <c r="L8" i="29"/>
  <c r="J8" i="29"/>
  <c r="H8" i="29"/>
  <c r="G8" i="29"/>
  <c r="F8" i="29" a="1"/>
  <c r="F8" i="29" s="1"/>
  <c r="C8" i="29"/>
  <c r="S8" i="29" s="1"/>
  <c r="R7" i="29"/>
  <c r="Q7" i="29"/>
  <c r="O7" i="29"/>
  <c r="N7" i="29"/>
  <c r="L7" i="29"/>
  <c r="J7" i="29"/>
  <c r="H7" i="29"/>
  <c r="G7" i="29"/>
  <c r="F7" i="29" a="1"/>
  <c r="F7" i="29" s="1"/>
  <c r="C7" i="29"/>
  <c r="S7" i="29" s="1"/>
  <c r="R6" i="29"/>
  <c r="Q6" i="29"/>
  <c r="O6" i="29"/>
  <c r="N6" i="29"/>
  <c r="L6" i="29"/>
  <c r="J6" i="29"/>
  <c r="H6" i="29"/>
  <c r="G6" i="29"/>
  <c r="F6" i="29" a="1"/>
  <c r="F6" i="29" s="1"/>
  <c r="C6" i="29"/>
  <c r="S6" i="29" s="1"/>
  <c r="R5" i="29"/>
  <c r="Q5" i="29"/>
  <c r="O5" i="29"/>
  <c r="N5" i="29"/>
  <c r="L5" i="29"/>
  <c r="J5" i="29"/>
  <c r="H5" i="29"/>
  <c r="G5" i="29"/>
  <c r="F5" i="29" a="1"/>
  <c r="F5" i="29" s="1"/>
  <c r="C5" i="29"/>
  <c r="S5" i="29" s="1"/>
  <c r="R4" i="29"/>
  <c r="Q4" i="29"/>
  <c r="O4" i="29"/>
  <c r="N4" i="29"/>
  <c r="L4" i="29"/>
  <c r="J4" i="29"/>
  <c r="H4" i="29"/>
  <c r="G4" i="29"/>
  <c r="C4" i="29"/>
  <c r="S4" i="29" s="1"/>
  <c r="T26" i="29" l="1"/>
  <c r="T53" i="29"/>
  <c r="S17" i="29"/>
  <c r="T25" i="29"/>
  <c r="T57" i="29"/>
  <c r="S58" i="29"/>
  <c r="T20" i="29"/>
  <c r="T22" i="29"/>
  <c r="D47" i="29"/>
  <c r="T8" i="29"/>
  <c r="T11" i="29"/>
  <c r="D16" i="29"/>
  <c r="D18" i="29"/>
  <c r="S18" i="29"/>
  <c r="C24" i="29"/>
  <c r="T37" i="29"/>
  <c r="D40" i="29"/>
  <c r="T50" i="29"/>
  <c r="T52" i="29"/>
  <c r="S55" i="29"/>
  <c r="T15" i="29"/>
  <c r="T16" i="29"/>
  <c r="T17" i="29"/>
  <c r="T18" i="29"/>
  <c r="T34" i="29"/>
  <c r="S39" i="29"/>
  <c r="D41" i="29"/>
  <c r="T44" i="29"/>
  <c r="D48" i="29"/>
  <c r="T56" i="29"/>
  <c r="T23" i="29"/>
  <c r="T24" i="29"/>
  <c r="D39" i="29"/>
  <c r="T49" i="29"/>
  <c r="T51" i="29"/>
  <c r="S49" i="29"/>
  <c r="T13" i="29"/>
  <c r="C20" i="29"/>
  <c r="S20" i="29" s="1"/>
  <c r="S26" i="29"/>
  <c r="T28" i="29"/>
  <c r="S42" i="29"/>
  <c r="T5" i="29"/>
  <c r="C15" i="29"/>
  <c r="S15" i="29" s="1"/>
  <c r="C31" i="29"/>
  <c r="S31" i="29" s="1"/>
  <c r="C33" i="29"/>
  <c r="S33" i="29" s="1"/>
  <c r="S40" i="29"/>
  <c r="D42" i="29"/>
  <c r="D56" i="29"/>
  <c r="C25" i="29"/>
  <c r="S25" i="29" s="1"/>
  <c r="C36" i="29"/>
  <c r="S36" i="29" s="1"/>
  <c r="C52" i="29"/>
  <c r="S52" i="29" s="1"/>
  <c r="T58" i="29"/>
  <c r="T14" i="29"/>
  <c r="T30" i="29"/>
  <c r="S34" i="29"/>
  <c r="T40" i="29"/>
  <c r="T41" i="29"/>
  <c r="T42" i="29"/>
  <c r="T46" i="29"/>
  <c r="S50" i="29"/>
  <c r="C57" i="29"/>
  <c r="S57" i="29" s="1"/>
  <c r="C59" i="29"/>
  <c r="S59" i="29" s="1"/>
  <c r="T6" i="29"/>
  <c r="T9" i="29"/>
  <c r="T31" i="29"/>
  <c r="S32" i="29"/>
  <c r="D34" i="29"/>
  <c r="T47" i="29"/>
  <c r="S48" i="29"/>
  <c r="D50" i="29"/>
  <c r="T4" i="29"/>
  <c r="T12" i="29"/>
  <c r="S16" i="29"/>
  <c r="T19" i="29"/>
  <c r="T27" i="29"/>
  <c r="T29" i="29"/>
  <c r="T43" i="29"/>
  <c r="T45" i="29"/>
  <c r="T7" i="29"/>
  <c r="S24" i="29"/>
  <c r="C28" i="29"/>
  <c r="S28" i="29" s="1"/>
  <c r="C44" i="29"/>
  <c r="S44" i="29" s="1"/>
  <c r="C10" i="29"/>
  <c r="S10" i="29" s="1"/>
  <c r="C11" i="29"/>
  <c r="S11" i="29" s="1"/>
  <c r="D4" i="29"/>
  <c r="D5" i="29"/>
  <c r="D6" i="29"/>
  <c r="D7" i="29"/>
  <c r="D8" i="29"/>
  <c r="D9" i="29"/>
  <c r="D12" i="29"/>
  <c r="D13" i="29"/>
  <c r="D14" i="29"/>
  <c r="C21" i="29"/>
  <c r="S21" i="29" s="1"/>
  <c r="D22" i="29"/>
  <c r="C29" i="29"/>
  <c r="S29" i="29" s="1"/>
  <c r="D30" i="29"/>
  <c r="C37" i="29"/>
  <c r="S37" i="29" s="1"/>
  <c r="D38" i="29"/>
  <c r="C45" i="29"/>
  <c r="S45" i="29" s="1"/>
  <c r="D46" i="29"/>
  <c r="C53" i="29"/>
  <c r="S53" i="29" s="1"/>
  <c r="D54" i="29"/>
  <c r="C19" i="29"/>
  <c r="S19" i="29" s="1"/>
  <c r="C27" i="29"/>
  <c r="S27" i="29" s="1"/>
  <c r="C35" i="29"/>
  <c r="S35" i="29" s="1"/>
  <c r="C43" i="29"/>
  <c r="S43" i="29" s="1"/>
  <c r="C51" i="29"/>
  <c r="S51" i="29" s="1"/>
  <c r="J60" i="26" l="1" a="1"/>
  <c r="J60" i="26" s="1"/>
  <c r="B60" i="26"/>
  <c r="B60" i="26" a="1"/>
  <c r="O57" i="26" a="1"/>
  <c r="O57" i="26" s="1"/>
  <c r="M57" i="26" a="1"/>
  <c r="M57" i="26" s="1"/>
  <c r="K57" i="26"/>
  <c r="I57" i="26" a="1"/>
  <c r="I57" i="26" s="1"/>
  <c r="G57" i="26"/>
  <c r="E57" i="26" a="1"/>
  <c r="E57" i="26" s="1"/>
  <c r="C57" i="26"/>
  <c r="O56" i="26" a="1"/>
  <c r="O56" i="26" s="1"/>
  <c r="M56" i="26" a="1"/>
  <c r="M56" i="26" s="1"/>
  <c r="K56" i="26"/>
  <c r="I56" i="26" a="1"/>
  <c r="I56" i="26" s="1"/>
  <c r="G56" i="26"/>
  <c r="E56" i="26" a="1"/>
  <c r="E56" i="26" s="1"/>
  <c r="C56" i="26"/>
  <c r="O55" i="26"/>
  <c r="O55" i="26" a="1"/>
  <c r="M55" i="26" a="1"/>
  <c r="M55" i="26" s="1"/>
  <c r="K55" i="26"/>
  <c r="I55" i="26" a="1"/>
  <c r="I55" i="26" s="1"/>
  <c r="G55" i="26"/>
  <c r="E55" i="26"/>
  <c r="E55" i="26" a="1"/>
  <c r="C55" i="26"/>
  <c r="O54" i="26"/>
  <c r="O54" i="26" a="1"/>
  <c r="M54" i="26" a="1"/>
  <c r="M54" i="26" s="1"/>
  <c r="K54" i="26"/>
  <c r="I54" i="26"/>
  <c r="I54" i="26" a="1"/>
  <c r="G54" i="26"/>
  <c r="E54" i="26"/>
  <c r="E54" i="26" a="1"/>
  <c r="C54" i="26"/>
  <c r="O53" i="26" a="1"/>
  <c r="O53" i="26" s="1"/>
  <c r="M53" i="26"/>
  <c r="M53" i="26" a="1"/>
  <c r="K53" i="26"/>
  <c r="I53" i="26"/>
  <c r="I53" i="26" a="1"/>
  <c r="G53" i="26"/>
  <c r="E53" i="26" a="1"/>
  <c r="E53" i="26" s="1"/>
  <c r="C53" i="26"/>
  <c r="O52" i="26"/>
  <c r="O52" i="26" a="1"/>
  <c r="M52" i="26" a="1"/>
  <c r="M52" i="26" s="1"/>
  <c r="K52" i="26"/>
  <c r="G52" i="26"/>
  <c r="E52" i="26" a="1"/>
  <c r="E52" i="26" s="1"/>
  <c r="C52" i="26"/>
  <c r="O51" i="26" a="1"/>
  <c r="O51" i="26" s="1"/>
  <c r="M51" i="26"/>
  <c r="M51" i="26" a="1"/>
  <c r="K51" i="26"/>
  <c r="G51" i="26"/>
  <c r="E51" i="26"/>
  <c r="E51" i="26" a="1"/>
  <c r="C51" i="26"/>
  <c r="O50" i="26" a="1"/>
  <c r="O50" i="26" s="1"/>
  <c r="M50" i="26" a="1"/>
  <c r="M50" i="26" s="1"/>
  <c r="K50" i="26"/>
  <c r="I50" i="26"/>
  <c r="I50" i="26" a="1"/>
  <c r="G50" i="26"/>
  <c r="E50" i="26" a="1"/>
  <c r="E50" i="26" s="1"/>
  <c r="C50" i="26"/>
  <c r="O49" i="26" a="1"/>
  <c r="O49" i="26" s="1"/>
  <c r="M49" i="26"/>
  <c r="M49" i="26" a="1"/>
  <c r="K49" i="26"/>
  <c r="G49" i="26"/>
  <c r="E49" i="26"/>
  <c r="E49" i="26" a="1"/>
  <c r="C49" i="26"/>
  <c r="O48" i="26" a="1"/>
  <c r="O48" i="26" s="1"/>
  <c r="M48" i="26"/>
  <c r="M48" i="26" a="1"/>
  <c r="K48" i="26"/>
  <c r="G48" i="26"/>
  <c r="E48" i="26" a="1"/>
  <c r="E48" i="26" s="1"/>
  <c r="C48" i="26"/>
  <c r="O47" i="26"/>
  <c r="O47" i="26" a="1"/>
  <c r="M47" i="26"/>
  <c r="M47" i="26" a="1"/>
  <c r="K47" i="26"/>
  <c r="G47" i="26"/>
  <c r="E47" i="26" a="1"/>
  <c r="E47" i="26" s="1"/>
  <c r="C47" i="26"/>
  <c r="O46" i="26"/>
  <c r="O46" i="26" a="1"/>
  <c r="M46" i="26" a="1"/>
  <c r="M46" i="26" s="1"/>
  <c r="K46" i="26"/>
  <c r="I46" i="26" a="1"/>
  <c r="I46" i="26" s="1"/>
  <c r="G46" i="26"/>
  <c r="E46" i="26"/>
  <c r="E46" i="26" a="1"/>
  <c r="C46" i="26"/>
  <c r="O45" i="26"/>
  <c r="O45" i="26" a="1"/>
  <c r="M45" i="26" a="1"/>
  <c r="M45" i="26" s="1"/>
  <c r="K45" i="26"/>
  <c r="G45" i="26"/>
  <c r="E45" i="26"/>
  <c r="E45" i="26" a="1"/>
  <c r="C45" i="26"/>
  <c r="O44" i="26" a="1"/>
  <c r="O44" i="26" s="1"/>
  <c r="M44" i="26" a="1"/>
  <c r="M44" i="26" s="1"/>
  <c r="K44" i="26"/>
  <c r="I44" i="26"/>
  <c r="I44" i="26" a="1"/>
  <c r="G44" i="26"/>
  <c r="E44" i="26" a="1"/>
  <c r="E44" i="26" s="1"/>
  <c r="C44" i="26"/>
  <c r="O43" i="26"/>
  <c r="O43" i="26" a="1"/>
  <c r="M43" i="26" a="1"/>
  <c r="M43" i="26" s="1"/>
  <c r="K43" i="26"/>
  <c r="I43" i="26" a="1"/>
  <c r="I43" i="26" s="1"/>
  <c r="G43" i="26"/>
  <c r="E43" i="26"/>
  <c r="E43" i="26" a="1"/>
  <c r="C43" i="26"/>
  <c r="O42" i="26"/>
  <c r="O42" i="26" a="1"/>
  <c r="M42" i="26" a="1"/>
  <c r="M42" i="26" s="1"/>
  <c r="K42" i="26"/>
  <c r="I42" i="26"/>
  <c r="I42" i="26" a="1"/>
  <c r="G42" i="26"/>
  <c r="E42" i="26"/>
  <c r="E42" i="26" a="1"/>
  <c r="C42" i="26"/>
  <c r="O41" i="26" a="1"/>
  <c r="O41" i="26" s="1"/>
  <c r="M41" i="26"/>
  <c r="M41" i="26" a="1"/>
  <c r="K41" i="26"/>
  <c r="I41" i="26"/>
  <c r="I41" i="26" a="1"/>
  <c r="G41" i="26"/>
  <c r="E41" i="26" a="1"/>
  <c r="E41" i="26" s="1"/>
  <c r="C41" i="26"/>
  <c r="O40" i="26"/>
  <c r="O40" i="26" a="1"/>
  <c r="M40" i="26" a="1"/>
  <c r="M40" i="26" s="1"/>
  <c r="K40" i="26"/>
  <c r="I40" i="26" a="1"/>
  <c r="I40" i="26" s="1"/>
  <c r="G40" i="26"/>
  <c r="E40" i="26"/>
  <c r="E40" i="26" a="1"/>
  <c r="C40" i="26"/>
  <c r="O39" i="26"/>
  <c r="O39" i="26" a="1"/>
  <c r="M39" i="26" a="1"/>
  <c r="M39" i="26" s="1"/>
  <c r="K39" i="26"/>
  <c r="I39" i="26"/>
  <c r="I39" i="26" a="1"/>
  <c r="G39" i="26"/>
  <c r="E39" i="26"/>
  <c r="E39" i="26" a="1"/>
  <c r="C39" i="26"/>
  <c r="O38" i="26" a="1"/>
  <c r="O38" i="26" s="1"/>
  <c r="M38" i="26"/>
  <c r="M38" i="26" a="1"/>
  <c r="K38" i="26"/>
  <c r="G38" i="26"/>
  <c r="E38" i="26" a="1"/>
  <c r="E38" i="26" s="1"/>
  <c r="C38" i="26"/>
  <c r="O37" i="26"/>
  <c r="O37" i="26" a="1"/>
  <c r="M37" i="26"/>
  <c r="M37" i="26" a="1"/>
  <c r="K37" i="26"/>
  <c r="I37" i="26" a="1"/>
  <c r="I37" i="26" s="1"/>
  <c r="G37" i="26"/>
  <c r="E37" i="26"/>
  <c r="E37" i="26" a="1"/>
  <c r="C37" i="26"/>
  <c r="O36" i="26" a="1"/>
  <c r="O36" i="26" s="1"/>
  <c r="M36" i="26" a="1"/>
  <c r="M36" i="26" s="1"/>
  <c r="K36" i="26"/>
  <c r="I36" i="26"/>
  <c r="I36" i="26" a="1"/>
  <c r="G36" i="26"/>
  <c r="E36" i="26" a="1"/>
  <c r="E36" i="26" s="1"/>
  <c r="C36" i="26"/>
  <c r="O35" i="26" a="1"/>
  <c r="O35" i="26" s="1"/>
  <c r="M35" i="26"/>
  <c r="M35" i="26" a="1"/>
  <c r="K35" i="26"/>
  <c r="I35" i="26" a="1"/>
  <c r="I35" i="26" s="1"/>
  <c r="G35" i="26"/>
  <c r="E35" i="26" a="1"/>
  <c r="E35" i="26" s="1"/>
  <c r="C35" i="26"/>
  <c r="O34" i="26"/>
  <c r="O34" i="26" a="1"/>
  <c r="M34" i="26" a="1"/>
  <c r="M34" i="26" s="1"/>
  <c r="K34" i="26"/>
  <c r="I34" i="26" a="1"/>
  <c r="I34" i="26" s="1"/>
  <c r="G34" i="26"/>
  <c r="E34" i="26"/>
  <c r="E34" i="26" a="1"/>
  <c r="C34" i="26"/>
  <c r="O33" i="26"/>
  <c r="O33" i="26" a="1"/>
  <c r="M33" i="26" a="1"/>
  <c r="M33" i="26" s="1"/>
  <c r="K33" i="26"/>
  <c r="I33" i="26"/>
  <c r="I33" i="26" a="1"/>
  <c r="G33" i="26"/>
  <c r="E33" i="26"/>
  <c r="E33" i="26" a="1"/>
  <c r="C33" i="26"/>
  <c r="O32" i="26" a="1"/>
  <c r="O32" i="26" s="1"/>
  <c r="M32" i="26"/>
  <c r="M32" i="26" a="1"/>
  <c r="K32" i="26"/>
  <c r="I32" i="26" a="1"/>
  <c r="I32" i="26" s="1"/>
  <c r="G32" i="26"/>
  <c r="E32" i="26" a="1"/>
  <c r="E32" i="26" s="1"/>
  <c r="C32" i="26"/>
  <c r="O31" i="26"/>
  <c r="O31" i="26" a="1"/>
  <c r="M31" i="26" a="1"/>
  <c r="M31" i="26" s="1"/>
  <c r="K31" i="26"/>
  <c r="I31" i="26" a="1"/>
  <c r="I31" i="26" s="1"/>
  <c r="G31" i="26"/>
  <c r="E31" i="26"/>
  <c r="E31" i="26" a="1"/>
  <c r="C31" i="26"/>
  <c r="O30" i="26" a="1"/>
  <c r="O30" i="26" s="1"/>
  <c r="M30" i="26" a="1"/>
  <c r="M30" i="26" s="1"/>
  <c r="K30" i="26"/>
  <c r="I30" i="26"/>
  <c r="I30" i="26" a="1"/>
  <c r="G30" i="26"/>
  <c r="E30" i="26" a="1"/>
  <c r="E30" i="26" s="1"/>
  <c r="C30" i="26"/>
  <c r="O29" i="26"/>
  <c r="O29" i="26" a="1"/>
  <c r="M29" i="26" a="1"/>
  <c r="M29" i="26" s="1"/>
  <c r="K29" i="26"/>
  <c r="I29" i="26" a="1"/>
  <c r="I29" i="26" s="1"/>
  <c r="G29" i="26"/>
  <c r="E29" i="26"/>
  <c r="E29" i="26" a="1"/>
  <c r="C29" i="26"/>
  <c r="O28" i="26"/>
  <c r="O28" i="26" a="1"/>
  <c r="M28" i="26" a="1"/>
  <c r="M28" i="26" s="1"/>
  <c r="K28" i="26"/>
  <c r="G28" i="26"/>
  <c r="E28" i="26"/>
  <c r="E28" i="26" a="1"/>
  <c r="C28" i="26"/>
  <c r="O27" i="26" a="1"/>
  <c r="O27" i="26" s="1"/>
  <c r="M27" i="26" a="1"/>
  <c r="M27" i="26" s="1"/>
  <c r="K27" i="26"/>
  <c r="I27" i="26"/>
  <c r="I27" i="26" a="1"/>
  <c r="G27" i="26"/>
  <c r="E27" i="26" a="1"/>
  <c r="E27" i="26" s="1"/>
  <c r="C27" i="26"/>
  <c r="O26" i="26" a="1"/>
  <c r="O26" i="26" s="1"/>
  <c r="M26" i="26"/>
  <c r="M26" i="26" a="1"/>
  <c r="K26" i="26"/>
  <c r="I26" i="26" a="1"/>
  <c r="I26" i="26" s="1"/>
  <c r="G26" i="26"/>
  <c r="E26" i="26" a="1"/>
  <c r="E26" i="26" s="1"/>
  <c r="C26" i="26"/>
  <c r="O25" i="26"/>
  <c r="O25" i="26" a="1"/>
  <c r="M25" i="26" a="1"/>
  <c r="M25" i="26" s="1"/>
  <c r="K25" i="26"/>
  <c r="I25" i="26" a="1"/>
  <c r="I25" i="26" s="1"/>
  <c r="G25" i="26"/>
  <c r="E25" i="26"/>
  <c r="E25" i="26" a="1"/>
  <c r="C25" i="26"/>
  <c r="O24" i="26" a="1"/>
  <c r="O24" i="26" s="1"/>
  <c r="M24" i="26" a="1"/>
  <c r="M24" i="26" s="1"/>
  <c r="K24" i="26"/>
  <c r="I24" i="26" a="1"/>
  <c r="I24" i="26" s="1"/>
  <c r="G24" i="26"/>
  <c r="E24" i="26" a="1"/>
  <c r="E24" i="26" s="1"/>
  <c r="C24" i="26"/>
  <c r="O23" i="26"/>
  <c r="O23" i="26" a="1"/>
  <c r="M23" i="26" a="1"/>
  <c r="M23" i="26" s="1"/>
  <c r="K23" i="26"/>
  <c r="I23" i="26" a="1"/>
  <c r="I23" i="26" s="1"/>
  <c r="G23" i="26"/>
  <c r="E23" i="26"/>
  <c r="E23" i="26" a="1"/>
  <c r="C23" i="26"/>
  <c r="O22" i="26"/>
  <c r="O22" i="26" a="1"/>
  <c r="M22" i="26" a="1"/>
  <c r="M22" i="26" s="1"/>
  <c r="K22" i="26"/>
  <c r="I22" i="26"/>
  <c r="I22" i="26" a="1"/>
  <c r="G22" i="26"/>
  <c r="E22" i="26"/>
  <c r="E22" i="26" a="1"/>
  <c r="C22" i="26"/>
  <c r="O21" i="26" a="1"/>
  <c r="O21" i="26" s="1"/>
  <c r="M21" i="26"/>
  <c r="M21" i="26" a="1"/>
  <c r="K21" i="26"/>
  <c r="I21" i="26"/>
  <c r="I21" i="26" a="1"/>
  <c r="G21" i="26"/>
  <c r="E21" i="26" a="1"/>
  <c r="E21" i="26" s="1"/>
  <c r="C21" i="26"/>
  <c r="O20" i="26"/>
  <c r="O20" i="26" a="1"/>
  <c r="M20" i="26"/>
  <c r="M20" i="26" a="1"/>
  <c r="K20" i="26"/>
  <c r="I20" i="26" a="1"/>
  <c r="I20" i="26" s="1"/>
  <c r="G20" i="26"/>
  <c r="E20" i="26"/>
  <c r="E20" i="26" a="1"/>
  <c r="C20" i="26"/>
  <c r="O19" i="26" a="1"/>
  <c r="O19" i="26" s="1"/>
  <c r="M19" i="26" a="1"/>
  <c r="M19" i="26" s="1"/>
  <c r="K19" i="26"/>
  <c r="I19" i="26"/>
  <c r="I19" i="26" a="1"/>
  <c r="G19" i="26"/>
  <c r="E19" i="26" a="1"/>
  <c r="E19" i="26" s="1"/>
  <c r="C19" i="26"/>
  <c r="O18" i="26" a="1"/>
  <c r="O18" i="26" s="1"/>
  <c r="M18" i="26"/>
  <c r="M18" i="26" a="1"/>
  <c r="K18" i="26"/>
  <c r="I18" i="26" a="1"/>
  <c r="I18" i="26" s="1"/>
  <c r="G18" i="26"/>
  <c r="E18" i="26" a="1"/>
  <c r="E18" i="26" s="1"/>
  <c r="C18" i="26"/>
  <c r="O17" i="26"/>
  <c r="O17" i="26" a="1"/>
  <c r="M17" i="26" a="1"/>
  <c r="M17" i="26" s="1"/>
  <c r="K17" i="26"/>
  <c r="I17" i="26" a="1"/>
  <c r="I17" i="26" s="1"/>
  <c r="G17" i="26"/>
  <c r="E17" i="26"/>
  <c r="E17" i="26" a="1"/>
  <c r="C17" i="26"/>
  <c r="O16" i="26" a="1"/>
  <c r="O16" i="26" s="1"/>
  <c r="M16" i="26" a="1"/>
  <c r="M16" i="26" s="1"/>
  <c r="K16" i="26"/>
  <c r="I16" i="26" a="1"/>
  <c r="I16" i="26" s="1"/>
  <c r="G16" i="26"/>
  <c r="E16" i="26" a="1"/>
  <c r="E16" i="26" s="1"/>
  <c r="C16" i="26"/>
  <c r="O15" i="26"/>
  <c r="O15" i="26" a="1"/>
  <c r="M15" i="26" a="1"/>
  <c r="M15" i="26" s="1"/>
  <c r="K15" i="26"/>
  <c r="I15" i="26" a="1"/>
  <c r="I15" i="26" s="1"/>
  <c r="G15" i="26"/>
  <c r="E15" i="26"/>
  <c r="E15" i="26" a="1"/>
  <c r="C15" i="26"/>
  <c r="O14" i="26"/>
  <c r="O14" i="26" a="1"/>
  <c r="M14" i="26" a="1"/>
  <c r="M14" i="26" s="1"/>
  <c r="K14" i="26"/>
  <c r="I14" i="26"/>
  <c r="I14" i="26" a="1"/>
  <c r="G14" i="26"/>
  <c r="E14" i="26" a="1"/>
  <c r="E14" i="26" s="1"/>
  <c r="C14" i="26"/>
  <c r="O13" i="26" a="1"/>
  <c r="O13" i="26" s="1"/>
  <c r="M13" i="26"/>
  <c r="M13" i="26" a="1"/>
  <c r="K13" i="26"/>
  <c r="I13" i="26" a="1"/>
  <c r="I13" i="26" s="1"/>
  <c r="G13" i="26"/>
  <c r="E13" i="26" a="1"/>
  <c r="E13" i="26" s="1"/>
  <c r="C13" i="26"/>
  <c r="O12" i="26"/>
  <c r="O12" i="26" a="1"/>
  <c r="M12" i="26" a="1"/>
  <c r="M12" i="26" s="1"/>
  <c r="K12" i="26"/>
  <c r="I12" i="26" a="1"/>
  <c r="I12" i="26" s="1"/>
  <c r="G12" i="26"/>
  <c r="E12" i="26"/>
  <c r="E12" i="26" a="1"/>
  <c r="C12" i="26" a="1"/>
  <c r="C12" i="26" s="1"/>
  <c r="O11" i="26" a="1"/>
  <c r="O11" i="26" s="1"/>
  <c r="M11" i="26" a="1"/>
  <c r="M11" i="26" s="1"/>
  <c r="K11" i="26"/>
  <c r="I11" i="26"/>
  <c r="I11" i="26" a="1"/>
  <c r="G11" i="26"/>
  <c r="E11" i="26" a="1"/>
  <c r="E11" i="26" s="1"/>
  <c r="C11" i="26" a="1"/>
  <c r="C11" i="26" s="1"/>
  <c r="O10" i="26"/>
  <c r="O10" i="26" a="1"/>
  <c r="M10" i="26" a="1"/>
  <c r="M10" i="26" s="1"/>
  <c r="K10" i="26"/>
  <c r="I10" i="26" a="1"/>
  <c r="I10" i="26" s="1"/>
  <c r="G10" i="26"/>
  <c r="E10" i="26"/>
  <c r="E10" i="26" a="1"/>
  <c r="C10" i="26" a="1"/>
  <c r="C10" i="26" s="1"/>
  <c r="O9" i="26" a="1"/>
  <c r="O9" i="26" s="1"/>
  <c r="M9" i="26" a="1"/>
  <c r="M9" i="26" s="1"/>
  <c r="K9" i="26"/>
  <c r="I9" i="26"/>
  <c r="I9" i="26" a="1"/>
  <c r="G9" i="26"/>
  <c r="E9" i="26" a="1"/>
  <c r="E9" i="26" s="1"/>
  <c r="C9" i="26" a="1"/>
  <c r="C9" i="26" s="1"/>
  <c r="O8" i="26"/>
  <c r="O8" i="26" a="1"/>
  <c r="M8" i="26" a="1"/>
  <c r="M8" i="26" s="1"/>
  <c r="K8" i="26"/>
  <c r="I8" i="26" a="1"/>
  <c r="I8" i="26" s="1"/>
  <c r="G8" i="26"/>
  <c r="E8" i="26"/>
  <c r="E8" i="26" a="1"/>
  <c r="C8" i="26" a="1"/>
  <c r="C8" i="26" s="1"/>
  <c r="O7" i="26" a="1"/>
  <c r="O7" i="26" s="1"/>
  <c r="M7" i="26" a="1"/>
  <c r="M7" i="26" s="1"/>
  <c r="K7" i="26"/>
  <c r="I7" i="26"/>
  <c r="I7" i="26" a="1"/>
  <c r="G7" i="26"/>
  <c r="E7" i="26" a="1"/>
  <c r="E7" i="26" s="1"/>
  <c r="C7" i="26" a="1"/>
  <c r="C7" i="26" s="1"/>
  <c r="O6" i="26"/>
  <c r="O6" i="26" a="1"/>
  <c r="M6" i="26" a="1"/>
  <c r="M6" i="26" s="1"/>
  <c r="K6" i="26"/>
  <c r="I6" i="26" a="1"/>
  <c r="I6" i="26" s="1"/>
  <c r="G6" i="26"/>
  <c r="E6" i="26"/>
  <c r="E6" i="26" a="1"/>
  <c r="C6" i="26" a="1"/>
  <c r="C6" i="26" s="1"/>
  <c r="O5" i="26" a="1"/>
  <c r="O5" i="26" s="1"/>
  <c r="M5" i="26" a="1"/>
  <c r="M5" i="26" s="1"/>
  <c r="K5" i="26"/>
  <c r="I5" i="26"/>
  <c r="I5" i="26" a="1"/>
  <c r="G5" i="26"/>
  <c r="E5" i="26" a="1"/>
  <c r="E5" i="26" s="1"/>
  <c r="C5" i="26" a="1"/>
  <c r="C5" i="26" s="1"/>
  <c r="O4" i="26"/>
  <c r="O4" i="26" a="1"/>
  <c r="M4" i="26" a="1"/>
  <c r="M4" i="26" s="1"/>
  <c r="K4" i="26"/>
  <c r="I4" i="26" a="1"/>
  <c r="I4" i="26" s="1"/>
  <c r="G4" i="26"/>
  <c r="E4" i="26"/>
  <c r="E4" i="26" a="1"/>
  <c r="C4" i="26" a="1"/>
  <c r="C4" i="26" s="1"/>
  <c r="O3" i="26" a="1"/>
  <c r="O3" i="26" s="1"/>
  <c r="M3" i="26" a="1"/>
  <c r="M3" i="26" s="1"/>
  <c r="K3" i="26"/>
  <c r="I3" i="26"/>
  <c r="I3" i="26" a="1"/>
  <c r="G3" i="26"/>
  <c r="E3" i="26" a="1"/>
  <c r="E3" i="26" s="1"/>
  <c r="C3" i="26" a="1"/>
  <c r="C3" i="26" s="1"/>
  <c r="O2" i="26"/>
  <c r="O2" i="26" a="1"/>
  <c r="M2" i="26" a="1"/>
  <c r="M2" i="26" s="1"/>
  <c r="K2" i="26"/>
  <c r="I2" i="26" a="1"/>
  <c r="I2" i="26" s="1"/>
  <c r="G2" i="26"/>
  <c r="E2" i="26"/>
  <c r="E2" i="26" a="1"/>
  <c r="C2" i="26" a="1"/>
  <c r="C2" i="26" s="1"/>
  <c r="B46" i="20"/>
  <c r="B45" i="20"/>
  <c r="B44" i="20"/>
  <c r="B43" i="20"/>
  <c r="B42" i="20"/>
  <c r="B47" i="20" l="1"/>
  <c r="H3" i="4"/>
  <c r="H4" i="4"/>
  <c r="H5" i="4"/>
  <c r="H6" i="4"/>
  <c r="H7" i="4"/>
  <c r="H8" i="4"/>
  <c r="H9" i="4"/>
  <c r="H10" i="4"/>
  <c r="H11" i="4"/>
  <c r="H12" i="4"/>
  <c r="H13" i="4"/>
  <c r="I2" i="4"/>
  <c r="J2" i="4"/>
  <c r="K2" i="4"/>
  <c r="L2" i="4"/>
  <c r="M2" i="4"/>
  <c r="I3" i="4"/>
  <c r="J3" i="4"/>
  <c r="K3" i="4"/>
  <c r="L3" i="4"/>
  <c r="M3" i="4"/>
  <c r="I4" i="4"/>
  <c r="J4" i="4"/>
  <c r="K4" i="4"/>
  <c r="L4" i="4"/>
  <c r="M4" i="4"/>
  <c r="I5" i="4"/>
  <c r="J5" i="4"/>
  <c r="K5" i="4"/>
  <c r="L5" i="4"/>
  <c r="M5" i="4"/>
  <c r="I6" i="4"/>
  <c r="J6" i="4"/>
  <c r="K6" i="4"/>
  <c r="L6" i="4"/>
  <c r="M6" i="4"/>
  <c r="I7" i="4"/>
  <c r="J7" i="4"/>
  <c r="K7" i="4"/>
  <c r="L7" i="4"/>
  <c r="M7" i="4"/>
  <c r="I8" i="4"/>
  <c r="J8" i="4"/>
  <c r="K8" i="4"/>
  <c r="L8" i="4"/>
  <c r="M8" i="4"/>
  <c r="I9" i="4"/>
  <c r="J9" i="4"/>
  <c r="K9" i="4"/>
  <c r="L9" i="4"/>
  <c r="M9" i="4"/>
  <c r="I10" i="4"/>
  <c r="J10" i="4"/>
  <c r="K10" i="4"/>
  <c r="L10" i="4"/>
  <c r="M10" i="4"/>
  <c r="I11" i="4"/>
  <c r="J11" i="4"/>
  <c r="K11" i="4"/>
  <c r="L11" i="4"/>
  <c r="M11" i="4"/>
  <c r="I12" i="4"/>
  <c r="J12" i="4"/>
  <c r="K12" i="4"/>
  <c r="L12" i="4"/>
  <c r="M12" i="4"/>
  <c r="I13" i="4"/>
  <c r="J13" i="4"/>
  <c r="K13" i="4"/>
  <c r="L13" i="4"/>
  <c r="M13" i="4"/>
  <c r="C45" i="20" l="1"/>
  <c r="C43" i="20"/>
  <c r="C44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<sst xmlns="http://schemas.openxmlformats.org/spreadsheetml/2006/main" count="2736" uniqueCount="372">
  <si>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</si>
  <si>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</si>
  <si>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</si>
  <si>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</si>
  <si>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</si>
  <si>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</si>
  <si>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</si>
  <si>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</si>
  <si>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</si>
  <si>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</si>
  <si>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</si>
  <si>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</si>
  <si>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</si>
  <si>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</si>
  <si>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</si>
  <si>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</si>
  <si>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</si>
  <si>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Q1_1</t>
  </si>
  <si>
    <t>Q1_2</t>
  </si>
  <si>
    <t>Q1_3</t>
  </si>
  <si>
    <t>Q1_4</t>
  </si>
  <si>
    <t>Q1_5</t>
  </si>
  <si>
    <t>Q1_6</t>
  </si>
  <si>
    <t>Q1_7</t>
  </si>
  <si>
    <t>Q1_8</t>
  </si>
  <si>
    <t>Q1_9</t>
  </si>
  <si>
    <t>Q1_10</t>
  </si>
  <si>
    <t>Q1_11</t>
  </si>
  <si>
    <t>Q1_12</t>
  </si>
  <si>
    <t>2</t>
  </si>
  <si>
    <t>Q3</t>
  </si>
  <si>
    <t>Q2</t>
  </si>
  <si>
    <t>Q5</t>
  </si>
  <si>
    <t>Q7</t>
  </si>
  <si>
    <t>Q6</t>
  </si>
  <si>
    <t>Q8</t>
  </si>
  <si>
    <t>Q9</t>
  </si>
  <si>
    <t>IP Address</t>
  </si>
  <si>
    <t>Survey Preview</t>
  </si>
  <si>
    <t/>
  </si>
  <si>
    <t>True</t>
  </si>
  <si>
    <t>R_8eXTg2L4noIMKTK</t>
  </si>
  <si>
    <t>preview</t>
  </si>
  <si>
    <t>EN</t>
  </si>
  <si>
    <t>83.137.6.162</t>
  </si>
  <si>
    <t>R_2Q5X0jEBFJSR5Ri</t>
  </si>
  <si>
    <t>anonymous</t>
  </si>
  <si>
    <t>4</t>
  </si>
  <si>
    <t>Daily</t>
  </si>
  <si>
    <t>25 - 34</t>
  </si>
  <si>
    <t>Male</t>
  </si>
  <si>
    <t>Ireland</t>
  </si>
  <si>
    <t>Student</t>
  </si>
  <si>
    <t>€199-€249</t>
  </si>
  <si>
    <t>Yes, currently own one</t>
  </si>
  <si>
    <t>Daily step tracking,Running or cycling,Stress management</t>
  </si>
  <si>
    <t>37.228.211.221</t>
  </si>
  <si>
    <t>R_8xJEAl15z2LPNm1</t>
  </si>
  <si>
    <t>Weekly</t>
  </si>
  <si>
    <t>18 - 24</t>
  </si>
  <si>
    <t>Under €199</t>
  </si>
  <si>
    <t>Running or cycling</t>
  </si>
  <si>
    <t>R_8IS0cIkMoB0OEOn</t>
  </si>
  <si>
    <t>Running or cycling,Stress management</t>
  </si>
  <si>
    <t>27.5.64.178</t>
  </si>
  <si>
    <t>R_4dNcOrgwokCEbeo</t>
  </si>
  <si>
    <t>Other</t>
  </si>
  <si>
    <t>Professional</t>
  </si>
  <si>
    <t>Daily step tracking</t>
  </si>
  <si>
    <t>104.28.53.14</t>
  </si>
  <si>
    <t>R_2pWPhDrGaofNHRE</t>
  </si>
  <si>
    <t>Daily step tracking,Running or cycling</t>
  </si>
  <si>
    <t>80.233.73.96</t>
  </si>
  <si>
    <t>R_80jyGg7mNxXMiLR</t>
  </si>
  <si>
    <t>1</t>
  </si>
  <si>
    <t>Daily step tracking,Sleep monitoring</t>
  </si>
  <si>
    <t>R_8cpCs6ofZqyGc8a</t>
  </si>
  <si>
    <t>Stress management</t>
  </si>
  <si>
    <t>47.232.71.153</t>
  </si>
  <si>
    <t>R_7JK68gYewBpS6Wu</t>
  </si>
  <si>
    <t>35 - 44</t>
  </si>
  <si>
    <t>Female</t>
  </si>
  <si>
    <t>86.42.8.196</t>
  </si>
  <si>
    <t>R_8YOia87nPBZFCfL</t>
  </si>
  <si>
    <t>€249-€399</t>
  </si>
  <si>
    <t>Daily step tracking,Running or cycling,Sleep monitoring,Stress management</t>
  </si>
  <si>
    <t>149.157.180.188</t>
  </si>
  <si>
    <t>R_2qxwwZwBjBYzkru</t>
  </si>
  <si>
    <t>Occasionally</t>
  </si>
  <si>
    <t>Yes, but no longer use it</t>
  </si>
  <si>
    <t>109.76.163.27</t>
  </si>
  <si>
    <t>R_8fOkmNiTBiFCRzX</t>
  </si>
  <si>
    <t>37.228.230.128</t>
  </si>
  <si>
    <t>R_2kvrXTlXORoeBmV</t>
  </si>
  <si>
    <t>Rarely or never</t>
  </si>
  <si>
    <t>No, I’ve never owned one</t>
  </si>
  <si>
    <t>37.228.201.98</t>
  </si>
  <si>
    <t>R_25BHTpVN4MQwFad</t>
  </si>
  <si>
    <t>Daily step tracking,Running or cycling,Sleep monitoring</t>
  </si>
  <si>
    <t>37.228.202.160</t>
  </si>
  <si>
    <t>R_2th6cR1vNxEezQ9</t>
  </si>
  <si>
    <t>27.7.70.75</t>
  </si>
  <si>
    <t>R_4F2MZKqfyzPJUMC</t>
  </si>
  <si>
    <t>86.44.110.84</t>
  </si>
  <si>
    <t>R_2YM2xj4cNTNFfFE</t>
  </si>
  <si>
    <t>149.157.108.100</t>
  </si>
  <si>
    <t>R_8OB6mHVFCSPwOHh</t>
  </si>
  <si>
    <t>149.157.189.52</t>
  </si>
  <si>
    <t>R_82Q9ygpdHy8ELxB</t>
  </si>
  <si>
    <t>51.171.79.166</t>
  </si>
  <si>
    <t>R_25jrIr9AxeX9pWV</t>
  </si>
  <si>
    <t>149.157.105.25</t>
  </si>
  <si>
    <t>R_2vH9pN1IlWCoIGl</t>
  </si>
  <si>
    <t>37.228.203.48</t>
  </si>
  <si>
    <t>R_8szxxrf5O9rJW12</t>
  </si>
  <si>
    <t>111.92.86.8</t>
  </si>
  <si>
    <t>R_4YLKIoUlsJvoL8g</t>
  </si>
  <si>
    <t>103.48.181.185</t>
  </si>
  <si>
    <t>R_4fXeJ33kYFo50Xf</t>
  </si>
  <si>
    <t>171.76.83.249</t>
  </si>
  <si>
    <t>R_4B5meCVGlJC88el</t>
  </si>
  <si>
    <t>106.205.164.206</t>
  </si>
  <si>
    <t>R_4VJY652TlA6yKof</t>
  </si>
  <si>
    <t>106.213.86.10</t>
  </si>
  <si>
    <t>R_4QMlS3RTSLymEj2</t>
  </si>
  <si>
    <t>212.3.196.245</t>
  </si>
  <si>
    <t>R_2CwQT4UZYS96i2y</t>
  </si>
  <si>
    <t>EU (other than Ireland)</t>
  </si>
  <si>
    <t>Running or cycling,Sleep monitoring,Stress management</t>
  </si>
  <si>
    <t>149.157.126.114</t>
  </si>
  <si>
    <t>R_8lK68fulmRs4mdj</t>
  </si>
  <si>
    <t>R_8M0PlGQknoU8JwT</t>
  </si>
  <si>
    <t>86.41.175.87</t>
  </si>
  <si>
    <t>R_83f94JVWzDKrJsC</t>
  </si>
  <si>
    <t>49.207.200.114</t>
  </si>
  <si>
    <t>R_4N7INbxAWDrNmLf</t>
  </si>
  <si>
    <t>149.157.107.253</t>
  </si>
  <si>
    <t>R_2qpOEztYoBPslPj</t>
  </si>
  <si>
    <t>149.157.184.180</t>
  </si>
  <si>
    <t>R_2CyJXFjFu7Am43n</t>
  </si>
  <si>
    <t>149.157.120.51</t>
  </si>
  <si>
    <t>R_22RSB8eeAWsYnrc</t>
  </si>
  <si>
    <t>149.157.42.108</t>
  </si>
  <si>
    <t>R_8SklAddUlt13ma5</t>
  </si>
  <si>
    <t>R_8JIad9icuxiHRV2</t>
  </si>
  <si>
    <t>149.157.125.192</t>
  </si>
  <si>
    <t>R_2xKJ49WlSmJOt55</t>
  </si>
  <si>
    <t>109.78.209.20</t>
  </si>
  <si>
    <t>R_2xVMF1zGhT0rRq3</t>
  </si>
  <si>
    <t>103.160.194.62</t>
  </si>
  <si>
    <t>R_4BzVj6PSKh2TPdz</t>
  </si>
  <si>
    <t>79.253.232.254</t>
  </si>
  <si>
    <t>R_2flzpiFEcsPRNRX</t>
  </si>
  <si>
    <t>80.233.71.136</t>
  </si>
  <si>
    <t>R_21yg3NRRCoCqChj</t>
  </si>
  <si>
    <t>Sleep monitoring</t>
  </si>
  <si>
    <t>36.255.86.176</t>
  </si>
  <si>
    <t>R_4hoKHWpV11XkaZl</t>
  </si>
  <si>
    <t>37.228.202.46</t>
  </si>
  <si>
    <t>R_2P6jnUXGLLa8ErD</t>
  </si>
  <si>
    <t>R_2Vgbe94FYNwQRTE</t>
  </si>
  <si>
    <t>Over €399</t>
  </si>
  <si>
    <t>83.137.6.161</t>
  </si>
  <si>
    <t>R_8duqGCbb0WJUSBG</t>
  </si>
  <si>
    <t>R_2PoWoeJ6Bw66kSO</t>
  </si>
  <si>
    <t>Sleep monitoring,Stress management</t>
  </si>
  <si>
    <t>R_8znYnib8nHxz0un</t>
  </si>
  <si>
    <t>UK</t>
  </si>
  <si>
    <t>R_2KZb1ZhJGoSJh7g</t>
  </si>
  <si>
    <t>R_27KxCqhimbqJx8F</t>
  </si>
  <si>
    <t>R_2w5do14BwkMoAxv</t>
  </si>
  <si>
    <t>Daily step tracking,Stress management</t>
  </si>
  <si>
    <t>R_2QiRKvZXC44p4IZ</t>
  </si>
  <si>
    <t>Running or cycling,Sleep monitoring</t>
  </si>
  <si>
    <t>117.219.32.32</t>
  </si>
  <si>
    <t>R_4zI9myYAYgp8OaU</t>
  </si>
  <si>
    <t>212.3.193.64</t>
  </si>
  <si>
    <t>R_27rlANFGv3pL0D3</t>
  </si>
  <si>
    <t>109.110.16.6</t>
  </si>
  <si>
    <t>R_8woza1GIMLpsSM0</t>
  </si>
  <si>
    <t>42.104.154.75</t>
  </si>
  <si>
    <t>R_4w7d5W1I7WFnRZk</t>
  </si>
  <si>
    <t>42.108.125.87</t>
  </si>
  <si>
    <t>R_4fWKxa9dSrUsQuZ</t>
  </si>
  <si>
    <t>103.165.167.129</t>
  </si>
  <si>
    <t>R_4baD5SMikhBcMsV</t>
  </si>
  <si>
    <t>157.46.10.34</t>
  </si>
  <si>
    <t>R_4CpEgKh6fLITS9o</t>
  </si>
  <si>
    <t>103.148.20.225</t>
  </si>
  <si>
    <t>R_45N5QCHnJE4mO3j</t>
  </si>
  <si>
    <t>244.226.130.39</t>
  </si>
  <si>
    <t>248.109.181.125</t>
  </si>
  <si>
    <t>112.173.195.99</t>
  </si>
  <si>
    <t>246.61.168.201</t>
  </si>
  <si>
    <t>112.11.94.248</t>
  </si>
  <si>
    <t>8.217.207.202</t>
  </si>
  <si>
    <t>37.114.247.116</t>
  </si>
  <si>
    <t>217.234.50.125</t>
  </si>
  <si>
    <t>150.221.69.39</t>
  </si>
  <si>
    <t>131.22.98.168</t>
  </si>
  <si>
    <t>72.214.35.33</t>
  </si>
  <si>
    <t>Profile</t>
  </si>
  <si>
    <t>Health Features</t>
  </si>
  <si>
    <t>Connectivity Levels</t>
  </si>
  <si>
    <t>Design</t>
  </si>
  <si>
    <t>Brand</t>
  </si>
  <si>
    <t>Price</t>
  </si>
  <si>
    <t>Basic Health Tracking</t>
  </si>
  <si>
    <t>Standard Connectivity</t>
  </si>
  <si>
    <t>Minimalist Design</t>
  </si>
  <si>
    <t>Google Fitbit</t>
  </si>
  <si>
    <t>Attributes</t>
  </si>
  <si>
    <t>Levels</t>
  </si>
  <si>
    <t>Comprehensive Health Tracking</t>
  </si>
  <si>
    <t>Connectivity Levels:</t>
  </si>
  <si>
    <t>Enhanced Connectivity</t>
  </si>
  <si>
    <t>Design:</t>
  </si>
  <si>
    <t>Sporty Design</t>
  </si>
  <si>
    <t>Brand:</t>
  </si>
  <si>
    <t>Apple</t>
  </si>
  <si>
    <t xml:space="preserve">Price </t>
  </si>
  <si>
    <t xml:space="preserve">Standard Connectivity: </t>
  </si>
  <si>
    <t xml:space="preserve">Respondent </t>
  </si>
  <si>
    <t xml:space="preserve">Profile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</si>
  <si>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</si>
  <si>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</si>
  <si>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</si>
  <si>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</si>
  <si>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</si>
  <si>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</si>
  <si>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</si>
  <si>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</si>
  <si>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</si>
  <si>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</si>
  <si>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</si>
  <si>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</si>
  <si>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</si>
  <si>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</si>
  <si>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</si>
  <si>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</si>
  <si>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</si>
  <si>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</si>
  <si>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</si>
  <si>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</si>
  <si>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</si>
  <si>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</si>
  <si>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</si>
  <si>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</si>
  <si>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Connectivity</t>
  </si>
  <si>
    <t>Comprehensive Health</t>
  </si>
  <si>
    <t>Minimalist</t>
  </si>
  <si>
    <t>Sporty</t>
  </si>
  <si>
    <t>Basic Health</t>
  </si>
  <si>
    <t>PARTWORTHS</t>
  </si>
  <si>
    <t>Ideal profile</t>
  </si>
  <si>
    <t xml:space="preserve">Brand </t>
  </si>
  <si>
    <t>Response</t>
  </si>
  <si>
    <t>Sr No</t>
  </si>
  <si>
    <t xml:space="preserve">Use of smartwatch </t>
  </si>
  <si>
    <t xml:space="preserve">Age </t>
  </si>
  <si>
    <t xml:space="preserve">Gender </t>
  </si>
  <si>
    <t>Location</t>
  </si>
  <si>
    <t xml:space="preserve">Occupation </t>
  </si>
  <si>
    <t>Comfortable price range</t>
  </si>
  <si>
    <t>Owned and Used</t>
  </si>
  <si>
    <t xml:space="preserve">Activities </t>
  </si>
  <si>
    <t>Usage Frequency Coding (Num)</t>
  </si>
  <si>
    <t>Age (Num)</t>
  </si>
  <si>
    <t>Gender  (num)</t>
  </si>
  <si>
    <t>Location (num)</t>
  </si>
  <si>
    <t>India</t>
  </si>
  <si>
    <t>Occupation  (num)</t>
  </si>
  <si>
    <t>Owned and Used (num)</t>
  </si>
  <si>
    <t>Comfortable price range (num)</t>
  </si>
  <si>
    <t>ATTRIBUTE IMPORTANCES</t>
  </si>
  <si>
    <t xml:space="preserve">Range </t>
  </si>
  <si>
    <t>Importance</t>
  </si>
  <si>
    <t xml:space="preserve">Health Features </t>
  </si>
  <si>
    <t>sum</t>
  </si>
  <si>
    <t xml:space="preserve">Comprehensive Health Tracking </t>
  </si>
  <si>
    <t>Minimliast</t>
  </si>
  <si>
    <t>Coding</t>
  </si>
  <si>
    <t xml:space="preserve">Male </t>
  </si>
  <si>
    <t xml:space="preserve">Female </t>
  </si>
  <si>
    <t xml:space="preserve">Ireland </t>
  </si>
  <si>
    <t xml:space="preserve">India </t>
  </si>
  <si>
    <t>EU (Other than Ireland)</t>
  </si>
  <si>
    <t>`1</t>
  </si>
  <si>
    <t xml:space="preserve">Daily or Weekly </t>
  </si>
  <si>
    <t>Ocassionally or rarely</t>
  </si>
  <si>
    <t xml:space="preserve">Young </t>
  </si>
  <si>
    <t>Mid age</t>
  </si>
  <si>
    <t xml:space="preserve">Low Price </t>
  </si>
  <si>
    <t xml:space="preserve">High Price </t>
  </si>
  <si>
    <t xml:space="preserve">Owned and used </t>
  </si>
  <si>
    <t>Current Owners</t>
  </si>
  <si>
    <t xml:space="preserve">Never Owned </t>
  </si>
  <si>
    <t>High Usage + Ownership</t>
  </si>
  <si>
    <t>Age (young) + Price Range (Low price)</t>
  </si>
  <si>
    <t xml:space="preserve">Usage Frequency </t>
  </si>
  <si>
    <t>Users- Owned and used, never owned and current</t>
  </si>
  <si>
    <t>Low price purchasing range</t>
  </si>
  <si>
    <t xml:space="preserve">High price Purchasing range </t>
  </si>
  <si>
    <t xml:space="preserve">age_young  </t>
  </si>
  <si>
    <t>Age_mid age</t>
  </si>
  <si>
    <t xml:space="preserve">Daily or Weekly users </t>
  </si>
  <si>
    <t>Ocassionally or rarely users</t>
  </si>
  <si>
    <t>SrNo</t>
  </si>
  <si>
    <t>Gender</t>
  </si>
  <si>
    <t>High Price Purchasing range</t>
  </si>
  <si>
    <t>NeverOwned</t>
  </si>
  <si>
    <t>HighUsage + Ownership</t>
  </si>
  <si>
    <t>ZAgeyoungPriceRangeLowprice</t>
  </si>
  <si>
    <t>ZHighUsageOwnership</t>
  </si>
  <si>
    <t>ZHighpricePurchasingrange</t>
  </si>
  <si>
    <t>ZNeverOwned</t>
  </si>
  <si>
    <t>ZGendernum</t>
  </si>
  <si>
    <t>Cluster</t>
  </si>
  <si>
    <t>Row Labels</t>
  </si>
  <si>
    <t xml:space="preserve">Key Characteristics </t>
  </si>
  <si>
    <t xml:space="preserve">Insights </t>
  </si>
  <si>
    <t>High-price preference, high usage, all male.</t>
  </si>
  <si>
    <t>Promote premium models with advanced features.</t>
  </si>
  <si>
    <t>Moderate usage, low price preference, all male.</t>
  </si>
  <si>
    <t>Target with affordable products and deals.</t>
  </si>
  <si>
    <t>Low usage, low price preference, all female.</t>
  </si>
  <si>
    <t>Promote entry-level smartwatches</t>
  </si>
  <si>
    <t xml:space="preserve">	No ownership, price-sensitive, young users.</t>
  </si>
  <si>
    <t>Encourage adoption with trials and promotions.</t>
  </si>
  <si>
    <t>No ownership or usage, all male.</t>
  </si>
  <si>
    <t>Build awareness and offer entry-level models.</t>
  </si>
  <si>
    <t>Grand Total</t>
  </si>
  <si>
    <t>Align Cluster Characteristics with Attributes</t>
  </si>
  <si>
    <t>Profile Name</t>
  </si>
  <si>
    <t>Key Traits</t>
  </si>
  <si>
    <t>Key Preferences</t>
  </si>
  <si>
    <t>Premium Active Males</t>
  </si>
  <si>
    <t>High-priced buyers, high ownership, active usage.</t>
  </si>
  <si>
    <t>Premium health features, Apple, €399.</t>
  </si>
  <si>
    <t>Young Budget Males</t>
  </si>
  <si>
    <t>Young, price-sensitive, moderate usage.</t>
  </si>
  <si>
    <t>Affordable, sporty designs, €199-€249.</t>
  </si>
  <si>
    <t>Budget-Conscious Females</t>
  </si>
  <si>
    <t>Young females, low usage, prefer budget options.</t>
  </si>
  <si>
    <t>Basic health, minimalist, €199-€249.</t>
  </si>
  <si>
    <t>Young Non-Adopters</t>
  </si>
  <si>
    <t>Non-owners, price-sensitive, potential adopters.</t>
  </si>
  <si>
    <t>Entry-level products, sporty, €199.</t>
  </si>
  <si>
    <t>Neutral Inactive Males</t>
  </si>
  <si>
    <t>Males, inactive, no preference for premium prices.</t>
  </si>
  <si>
    <t>Basic health, minimalist, €199.</t>
  </si>
  <si>
    <t>New Profiles with attributes</t>
  </si>
  <si>
    <t>Utility</t>
  </si>
  <si>
    <t>Predicted Choice</t>
  </si>
  <si>
    <t>Product A</t>
  </si>
  <si>
    <t>Product B</t>
  </si>
  <si>
    <t>Product C</t>
  </si>
  <si>
    <t>Product D</t>
  </si>
  <si>
    <t xml:space="preserve">Product E </t>
  </si>
  <si>
    <t>Predicting best Consumer Choice Between these Alternatives</t>
  </si>
  <si>
    <t>Cluster Profiles with attributes</t>
  </si>
  <si>
    <t xml:space="preserve"> Gender</t>
  </si>
  <si>
    <t xml:space="preserve">High Price Purchasing </t>
  </si>
  <si>
    <t xml:space="preserve"> Never Owned</t>
  </si>
  <si>
    <t xml:space="preserve"> HighUsage + Ownership</t>
  </si>
  <si>
    <t>Age (young)+Price Range (Low price)</t>
  </si>
  <si>
    <t>Cluster 1</t>
  </si>
  <si>
    <t>Cluster 2</t>
  </si>
  <si>
    <t>Cluster 3</t>
  </si>
  <si>
    <t>Cluster 4</t>
  </si>
  <si>
    <t>Cluster 5</t>
  </si>
  <si>
    <t>Profile/ Segment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</si>
</sst>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€&quot;#,##0;[Red]\-&quot;€&quot;#,##0"/>
    <numFmt numFmtId="164" formatCode="0.0000"/>
    <numFmt numFmtId="165" formatCode="\(0\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0.000E+00"/>
    <numFmt numFmtId="169" formatCode="0.00000"/>
    <numFmt numFmtId="170" formatCode="&quot;$&quot;#,##0_);[Red]\(&quot;$&quot;#,##0\)"/>
  </numFmts>
  <fonts count="1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9C65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0" fontId="9" fillId="2" borderId="0"/>
    <xf numFmtId="166" fontId="10" fillId="2" borderId="0" applyFont="0" applyFill="0" applyBorder="0" applyAlignment="0" applyProtection="0"/>
    <xf numFmtId="0" fontId="12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2" borderId="0"/>
  </cellStyleXfs>
  <cellXfs count="151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3" borderId="0" xfId="0" applyFill="1"/>
    <xf numFmtId="164" fontId="0" fillId="0" borderId="0" xfId="0" applyNumberFormat="1"/>
    <xf numFmtId="1" fontId="0" fillId="0" borderId="0" xfId="0" applyNumberFormat="1"/>
    <xf numFmtId="0" fontId="0" fillId="3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165" fontId="3" fillId="7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6" borderId="1" xfId="0" applyFill="1" applyBorder="1"/>
    <xf numFmtId="0" fontId="6" fillId="6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49" fontId="0" fillId="0" borderId="0" xfId="0" applyNumberFormat="1" applyAlignment="1">
      <alignment horizontal="center" wrapText="1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/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Continuous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 wrapText="1"/>
    </xf>
    <xf numFmtId="0" fontId="11" fillId="2" borderId="1" xfId="1" applyFont="1" applyBorder="1" applyAlignment="1">
      <alignment horizontal="center"/>
    </xf>
    <xf numFmtId="2" fontId="9" fillId="2" borderId="1" xfId="1" applyNumberFormat="1" applyBorder="1"/>
    <xf numFmtId="2" fontId="9" fillId="2" borderId="1" xfId="1" applyNumberFormat="1" applyBorder="1" applyAlignment="1">
      <alignment horizontal="right"/>
    </xf>
    <xf numFmtId="0" fontId="9" fillId="2" borderId="12" xfId="1" applyBorder="1"/>
    <xf numFmtId="0" fontId="10" fillId="2" borderId="13" xfId="1" applyFont="1" applyBorder="1" applyAlignment="1">
      <alignment horizontal="center"/>
    </xf>
    <xf numFmtId="0" fontId="9" fillId="2" borderId="14" xfId="1" applyBorder="1" applyAlignment="1">
      <alignment horizontal="center" vertical="center"/>
    </xf>
    <xf numFmtId="0" fontId="0" fillId="8" borderId="16" xfId="0" applyFill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wrapText="1"/>
    </xf>
    <xf numFmtId="2" fontId="0" fillId="0" borderId="1" xfId="0" applyNumberFormat="1" applyBorder="1"/>
    <xf numFmtId="0" fontId="0" fillId="9" borderId="0" xfId="0" applyFill="1"/>
    <xf numFmtId="0" fontId="0" fillId="9" borderId="5" xfId="0" applyFill="1" applyBorder="1"/>
    <xf numFmtId="0" fontId="0" fillId="0" borderId="13" xfId="0" applyBorder="1"/>
    <xf numFmtId="0" fontId="0" fillId="0" borderId="14" xfId="0" applyBorder="1"/>
    <xf numFmtId="9" fontId="0" fillId="0" borderId="14" xfId="4" applyFont="1" applyBorder="1"/>
    <xf numFmtId="0" fontId="9" fillId="0" borderId="13" xfId="0" applyFont="1" applyBorder="1"/>
    <xf numFmtId="0" fontId="9" fillId="2" borderId="15" xfId="0" applyFont="1" applyFill="1" applyBorder="1"/>
    <xf numFmtId="2" fontId="0" fillId="0" borderId="16" xfId="0" applyNumberFormat="1" applyBorder="1"/>
    <xf numFmtId="0" fontId="0" fillId="0" borderId="20" xfId="0" applyBorder="1"/>
    <xf numFmtId="0" fontId="11" fillId="0" borderId="1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1" fontId="0" fillId="0" borderId="1" xfId="0" applyNumberFormat="1" applyBorder="1"/>
    <xf numFmtId="168" fontId="0" fillId="0" borderId="1" xfId="0" applyNumberFormat="1" applyBorder="1"/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13" fillId="11" borderId="0" xfId="0" applyFont="1" applyFill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right" vertical="center"/>
    </xf>
    <xf numFmtId="0" fontId="0" fillId="10" borderId="1" xfId="0" applyFill="1" applyBorder="1" applyAlignment="1">
      <alignment horizontal="right"/>
    </xf>
    <xf numFmtId="0" fontId="0" fillId="10" borderId="17" xfId="0" applyFill="1" applyBorder="1" applyAlignment="1">
      <alignment horizontal="center" vertical="center"/>
    </xf>
    <xf numFmtId="0" fontId="3" fillId="15" borderId="0" xfId="0" applyFont="1" applyFill="1"/>
    <xf numFmtId="0" fontId="13" fillId="11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1" fillId="2" borderId="0" xfId="5"/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1" fillId="0" borderId="23" xfId="0" applyFont="1" applyBorder="1"/>
    <xf numFmtId="0" fontId="11" fillId="0" borderId="0" xfId="0" applyFont="1"/>
    <xf numFmtId="0" fontId="11" fillId="0" borderId="24" xfId="0" applyFont="1" applyBorder="1"/>
    <xf numFmtId="2" fontId="0" fillId="0" borderId="0" xfId="0" applyNumberFormat="1"/>
    <xf numFmtId="0" fontId="11" fillId="0" borderId="26" xfId="0" applyFont="1" applyBorder="1"/>
    <xf numFmtId="1" fontId="9" fillId="0" borderId="5" xfId="0" applyNumberFormat="1" applyFont="1" applyBorder="1"/>
    <xf numFmtId="1" fontId="9" fillId="0" borderId="0" xfId="0" applyNumberFormat="1" applyFont="1"/>
    <xf numFmtId="0" fontId="0" fillId="0" borderId="10" xfId="0" applyBorder="1"/>
    <xf numFmtId="170" fontId="11" fillId="0" borderId="11" xfId="0" applyNumberFormat="1" applyFont="1" applyBorder="1" applyAlignment="1">
      <alignment horizontal="center"/>
    </xf>
    <xf numFmtId="0" fontId="11" fillId="0" borderId="11" xfId="0" applyFont="1" applyBorder="1" applyAlignment="1">
      <alignment wrapText="1"/>
    </xf>
    <xf numFmtId="1" fontId="9" fillId="0" borderId="25" xfId="0" applyNumberFormat="1" applyFont="1" applyBorder="1"/>
    <xf numFmtId="2" fontId="0" fillId="0" borderId="5" xfId="0" applyNumberFormat="1" applyBorder="1"/>
    <xf numFmtId="1" fontId="9" fillId="0" borderId="27" xfId="0" applyNumberFormat="1" applyFont="1" applyBorder="1"/>
    <xf numFmtId="0" fontId="11" fillId="9" borderId="24" xfId="0" applyFont="1" applyFill="1" applyBorder="1"/>
    <xf numFmtId="1" fontId="9" fillId="9" borderId="0" xfId="0" applyNumberFormat="1" applyFont="1" applyFill="1"/>
    <xf numFmtId="2" fontId="0" fillId="9" borderId="0" xfId="0" applyNumberFormat="1" applyFill="1"/>
    <xf numFmtId="0" fontId="0" fillId="0" borderId="0" xfId="0" pivotButton="1"/>
    <xf numFmtId="1" fontId="0" fillId="0" borderId="0" xfId="0" applyNumberFormat="1" applyAlignment="1">
      <alignment horizontal="left"/>
    </xf>
    <xf numFmtId="0" fontId="1" fillId="2" borderId="1" xfId="5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0" fontId="3" fillId="17" borderId="1" xfId="5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0" fillId="2" borderId="13" xfId="1" applyFont="1" applyBorder="1" applyAlignment="1">
      <alignment horizontal="center" vertical="center" wrapText="1"/>
    </xf>
    <xf numFmtId="0" fontId="9" fillId="2" borderId="13" xfId="1" applyBorder="1" applyAlignment="1">
      <alignment horizontal="center" vertical="center" wrapText="1"/>
    </xf>
    <xf numFmtId="167" fontId="9" fillId="2" borderId="14" xfId="2" applyNumberFormat="1" applyFont="1" applyBorder="1" applyAlignment="1">
      <alignment horizontal="center" vertical="center"/>
    </xf>
    <xf numFmtId="167" fontId="9" fillId="2" borderId="19" xfId="2" applyNumberFormat="1" applyFont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8" borderId="13" xfId="1" applyFont="1" applyFill="1" applyBorder="1" applyAlignment="1">
      <alignment horizontal="center" vertical="center"/>
    </xf>
    <xf numFmtId="0" fontId="10" fillId="2" borderId="14" xfId="1" applyFont="1" applyBorder="1" applyAlignment="1">
      <alignment horizontal="center" vertical="center"/>
    </xf>
    <xf numFmtId="0" fontId="9" fillId="2" borderId="14" xfId="1" applyBorder="1" applyAlignment="1">
      <alignment horizontal="center" vertical="center"/>
    </xf>
    <xf numFmtId="0" fontId="11" fillId="2" borderId="10" xfId="1" applyFont="1" applyBorder="1" applyAlignment="1">
      <alignment horizontal="center"/>
    </xf>
    <xf numFmtId="0" fontId="11" fillId="2" borderId="11" xfId="1" applyFont="1" applyBorder="1" applyAlignment="1">
      <alignment horizontal="center"/>
    </xf>
    <xf numFmtId="0" fontId="0" fillId="0" borderId="13" xfId="0" applyBorder="1" applyAlignment="1">
      <alignment horizontal="center" vertical="center"/>
    </xf>
  </cellXfs>
  <cellStyles count="6">
    <cellStyle name="Currency 2" xfId="2" xr:uid="{767992E1-3309-4B3B-B41D-E45F536AD0D7}"/>
    <cellStyle name="Neutral 2" xfId="3" xr:uid="{728907A3-E4ED-4370-BF62-8E5491C45583}"/>
    <cellStyle name="Normal" xfId="0" builtinId="0"/>
    <cellStyle name="Normal 2" xfId="1" xr:uid="{F65D12B5-0E8E-42EE-BCEF-C95D653D52B4}"/>
    <cellStyle name="Normal 3" xfId="5" xr:uid="{AC36E770-75F6-414A-9F9F-D74B40B4CB72}"/>
    <cellStyle name="Percent" xfId="4" builtinId="5"/>
  </cellStyles>
  <dxfs count="2">
    <dxf>
      <font>
        <color rgb="FF9C0006"/>
      </font>
      <fill>
        <patternFill>
          <bgColor rgb="FFFFC7CE"/>
        </patternFill>
      </fill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[Smartwatch Preferences_ Insights for Data-Driven Design.xlsx]Cluster and MS Analysis 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 and MS Analysis '!$B$3</c:f>
              <c:strCache>
                <c:ptCount val="1"/>
                <c:pt idx="0">
                  <c:v> Gender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'Cluster and MS Analysis '!$A$4:$A$9</c:f>
              <c:strCache>
                <c:ptCount val="5"/>
                <c:pt idx="0">
                  <c:v>Cluster 1</c:v>
                </c:pt>
                <c:pt idx="1">
                  <c:v>Cluster 2</c:v>
                </c:pt>
                <c:pt idx="2">
                  <c:v>Cluster 3</c:v>
                </c:pt>
                <c:pt idx="3">
                  <c:v>Cluster 4</c:v>
                </c:pt>
                <c:pt idx="4">
                  <c:v>Cluster 5</c:v>
                </c:pt>
              </c:strCache>
            </c:strRef>
          </c:cat>
          <c:val>
            <c:numRef>
              <c:f>'Cluster and MS Analysis '!$B$4:$B$9</c:f>
              <c:numCache>
                <c:formatCode>0.00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0.7142857142857143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C-4A0E-95AD-57645BAF13A9}"/>
            </c:ext>
          </c:extLst>
        </c:ser>
        <c:ser>
          <c:idx val="1"/>
          <c:order val="1"/>
          <c:tx>
            <c:strRef>
              <c:f>'Cluster and MS Analysis '!$C$3</c:f>
              <c:strCache>
                <c:ptCount val="1"/>
                <c:pt idx="0">
                  <c:v>High Price Purchasing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'Cluster and MS Analysis '!$A$4:$A$9</c:f>
              <c:strCache>
                <c:ptCount val="5"/>
                <c:pt idx="0">
                  <c:v>Cluster 1</c:v>
                </c:pt>
                <c:pt idx="1">
                  <c:v>Cluster 2</c:v>
                </c:pt>
                <c:pt idx="2">
                  <c:v>Cluster 3</c:v>
                </c:pt>
                <c:pt idx="3">
                  <c:v>Cluster 4</c:v>
                </c:pt>
                <c:pt idx="4">
                  <c:v>Cluster 5</c:v>
                </c:pt>
              </c:strCache>
            </c:strRef>
          </c:cat>
          <c:val>
            <c:numRef>
              <c:f>'Cluster and MS Analysis '!$C$4:$C$9</c:f>
              <c:numCache>
                <c:formatCode>0.00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C-4A0E-95AD-57645BAF13A9}"/>
            </c:ext>
          </c:extLst>
        </c:ser>
        <c:ser>
          <c:idx val="2"/>
          <c:order val="2"/>
          <c:tx>
            <c:strRef>
              <c:f>'Cluster and MS Analysis '!$D$3</c:f>
              <c:strCache>
                <c:ptCount val="1"/>
                <c:pt idx="0">
                  <c:v> HighUsage + Ownership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'Cluster and MS Analysis '!$A$4:$A$9</c:f>
              <c:strCache>
                <c:ptCount val="5"/>
                <c:pt idx="0">
                  <c:v>Cluster 1</c:v>
                </c:pt>
                <c:pt idx="1">
                  <c:v>Cluster 2</c:v>
                </c:pt>
                <c:pt idx="2">
                  <c:v>Cluster 3</c:v>
                </c:pt>
                <c:pt idx="3">
                  <c:v>Cluster 4</c:v>
                </c:pt>
                <c:pt idx="4">
                  <c:v>Cluster 5</c:v>
                </c:pt>
              </c:strCache>
            </c:strRef>
          </c:cat>
          <c:val>
            <c:numRef>
              <c:f>'Cluster and MS Analysis '!$D$4:$D$9</c:f>
              <c:numCache>
                <c:formatCode>0.00</c:formatCode>
                <c:ptCount val="5"/>
                <c:pt idx="0">
                  <c:v>1</c:v>
                </c:pt>
                <c:pt idx="1">
                  <c:v>0.76190476190476186</c:v>
                </c:pt>
                <c:pt idx="2">
                  <c:v>0.36842105263157893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4C-4A0E-95AD-57645BAF13A9}"/>
            </c:ext>
          </c:extLst>
        </c:ser>
        <c:ser>
          <c:idx val="3"/>
          <c:order val="3"/>
          <c:tx>
            <c:strRef>
              <c:f>'Cluster and MS Analysis '!$E$3</c:f>
              <c:strCache>
                <c:ptCount val="1"/>
                <c:pt idx="0">
                  <c:v> Never Owned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'Cluster and MS Analysis '!$A$4:$A$9</c:f>
              <c:strCache>
                <c:ptCount val="5"/>
                <c:pt idx="0">
                  <c:v>Cluster 1</c:v>
                </c:pt>
                <c:pt idx="1">
                  <c:v>Cluster 2</c:v>
                </c:pt>
                <c:pt idx="2">
                  <c:v>Cluster 3</c:v>
                </c:pt>
                <c:pt idx="3">
                  <c:v>Cluster 4</c:v>
                </c:pt>
                <c:pt idx="4">
                  <c:v>Cluster 5</c:v>
                </c:pt>
              </c:strCache>
            </c:strRef>
          </c:cat>
          <c:val>
            <c:numRef>
              <c:f>'Cluster and MS Analysis '!$E$4:$E$9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4C-4A0E-95AD-57645BAF13A9}"/>
            </c:ext>
          </c:extLst>
        </c:ser>
        <c:ser>
          <c:idx val="4"/>
          <c:order val="4"/>
          <c:tx>
            <c:strRef>
              <c:f>'Cluster and MS Analysis '!$F$3</c:f>
              <c:strCache>
                <c:ptCount val="1"/>
                <c:pt idx="0">
                  <c:v>Age (young)+Price Range (Low price)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'Cluster and MS Analysis '!$A$4:$A$9</c:f>
              <c:strCache>
                <c:ptCount val="5"/>
                <c:pt idx="0">
                  <c:v>Cluster 1</c:v>
                </c:pt>
                <c:pt idx="1">
                  <c:v>Cluster 2</c:v>
                </c:pt>
                <c:pt idx="2">
                  <c:v>Cluster 3</c:v>
                </c:pt>
                <c:pt idx="3">
                  <c:v>Cluster 4</c:v>
                </c:pt>
                <c:pt idx="4">
                  <c:v>Cluster 5</c:v>
                </c:pt>
              </c:strCache>
            </c:strRef>
          </c:cat>
          <c:val>
            <c:numRef>
              <c:f>'Cluster and MS Analysis '!$F$4:$F$9</c:f>
              <c:numCache>
                <c:formatCode>0.00</c:formatCode>
                <c:ptCount val="5"/>
                <c:pt idx="0">
                  <c:v>0</c:v>
                </c:pt>
                <c:pt idx="1">
                  <c:v>0.61904761904761907</c:v>
                </c:pt>
                <c:pt idx="2">
                  <c:v>0.68421052631578949</c:v>
                </c:pt>
                <c:pt idx="3">
                  <c:v>0.7142857142857143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4C-4A0E-95AD-57645BAF1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810591"/>
        <c:axId val="698801951"/>
      </c:barChart>
      <c:catAx>
        <c:axId val="69881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01951"/>
        <c:crosses val="autoZero"/>
        <c:auto val="1"/>
        <c:lblAlgn val="ctr"/>
        <c:lblOffset val="100"/>
        <c:noMultiLvlLbl val="0"/>
      </c:catAx>
      <c:valAx>
        <c:axId val="69880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1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ATTRIBUTE IMPORTANCES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Analysis!$A$42:$A$46</c:f>
              <c:strCache>
                <c:ptCount val="5"/>
                <c:pt idx="0">
                  <c:v>Health Features </c:v>
                </c:pt>
                <c:pt idx="1">
                  <c:v>Connectivity Levels</c:v>
                </c:pt>
                <c:pt idx="2">
                  <c:v>Design</c:v>
                </c:pt>
                <c:pt idx="3">
                  <c:v>Brand</c:v>
                </c:pt>
                <c:pt idx="4">
                  <c:v>Price</c:v>
                </c:pt>
              </c:strCache>
            </c:strRef>
          </c:cat>
          <c:val>
            <c:numRef>
              <c:f>Analysis!$C$42:$C$46</c:f>
              <c:numCache>
                <c:formatCode>0%</c:formatCode>
                <c:ptCount val="5"/>
                <c:pt idx="0">
                  <c:v>9.1043828075375813E-3</c:v>
                </c:pt>
                <c:pt idx="1">
                  <c:v>0.19055684946008894</c:v>
                </c:pt>
                <c:pt idx="2">
                  <c:v>3.3876773237349146E-2</c:v>
                </c:pt>
                <c:pt idx="3">
                  <c:v>0.16303197120474275</c:v>
                </c:pt>
                <c:pt idx="4">
                  <c:v>0.60343002329028161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F-41C5-BAC5-099C93669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155951"/>
        <c:axId val="262158831"/>
      </c:barChart>
      <c:catAx>
        <c:axId val="26215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58831"/>
        <c:crosses val="autoZero"/>
        <c:auto val="1"/>
        <c:lblAlgn val="ctr"/>
        <c:lblOffset val="100"/>
        <c:noMultiLvlLbl val="0"/>
      </c:catAx>
      <c:valAx>
        <c:axId val="26215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15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 Features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Analysis!$B$28:$B$29</c:f>
              <c:strCache>
                <c:ptCount val="2"/>
                <c:pt idx="0">
                  <c:v>Basic Health Tracking</c:v>
                </c:pt>
                <c:pt idx="1">
                  <c:v>Comprehensive Health Tracking</c:v>
                </c:pt>
              </c:strCache>
            </c:strRef>
          </c:cat>
          <c:val>
            <c:numRef>
              <c:f>Analysis!$C$28:$C$29</c:f>
              <c:numCache>
                <c:formatCode>General</c:formatCode>
                <c:ptCount val="2"/>
                <c:pt idx="0">
                  <c:v>0</c:v>
                </c:pt>
                <c:pt idx="1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2-4B22-AEF5-32B01A441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76412384"/>
        <c:axId val="1576419104"/>
      </c:lineChart>
      <c:catAx>
        <c:axId val="157641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19104"/>
        <c:crosses val="autoZero"/>
        <c:auto val="1"/>
        <c:lblAlgn val="ctr"/>
        <c:lblOffset val="100"/>
        <c:noMultiLvlLbl val="0"/>
      </c:catAx>
      <c:valAx>
        <c:axId val="1576419104"/>
        <c:scaling>
          <c:orientation val="minMax"/>
          <c:max val="3"/>
          <c:min val="-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41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Connectivity</a:t>
            </a:r>
            <a:r>
              <a:rPr lang="en-IE" baseline="0"/>
              <a:t> Levels 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Analysis!$B$30:$B$31</c:f>
              <c:strCache>
                <c:ptCount val="2"/>
                <c:pt idx="0">
                  <c:v>Standard Connectivity</c:v>
                </c:pt>
                <c:pt idx="1">
                  <c:v>Enhanced Connectivity</c:v>
                </c:pt>
              </c:strCache>
            </c:strRef>
          </c:cat>
          <c:val>
            <c:numRef>
              <c:f>Analysis!$C$30:$C$31</c:f>
              <c:numCache>
                <c:formatCode>0.00</c:formatCode>
                <c:ptCount val="2"/>
                <c:pt idx="0">
                  <c:v>0</c:v>
                </c:pt>
                <c:pt idx="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3-4240-AF4A-08418F58C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06115776"/>
        <c:axId val="406104256"/>
      </c:lineChart>
      <c:catAx>
        <c:axId val="4061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04256"/>
        <c:crosses val="autoZero"/>
        <c:auto val="1"/>
        <c:lblAlgn val="ctr"/>
        <c:lblOffset val="100"/>
        <c:noMultiLvlLbl val="0"/>
      </c:catAx>
      <c:valAx>
        <c:axId val="406104256"/>
        <c:scaling>
          <c:orientation val="minMax"/>
          <c:max val="3"/>
          <c:min val="-3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1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Design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Analysis!$B$32:$B$33</c:f>
              <c:strCache>
                <c:ptCount val="2"/>
                <c:pt idx="0">
                  <c:v>Minimliast</c:v>
                </c:pt>
                <c:pt idx="1">
                  <c:v>Sporty Design</c:v>
                </c:pt>
              </c:strCache>
            </c:strRef>
          </c:cat>
          <c:val>
            <c:numRef>
              <c:f>Analysis!$C$32:$C$33</c:f>
              <c:numCache>
                <c:formatCode>0.00</c:formatCode>
                <c:ptCount val="2"/>
                <c:pt idx="0">
                  <c:v>0</c:v>
                </c:pt>
                <c:pt idx="1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C-4446-A449-53868D590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64946176"/>
        <c:axId val="264947136"/>
      </c:lineChart>
      <c:catAx>
        <c:axId val="26494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47136"/>
        <c:crosses val="autoZero"/>
        <c:auto val="1"/>
        <c:lblAlgn val="ctr"/>
        <c:lblOffset val="100"/>
        <c:noMultiLvlLbl val="0"/>
      </c:catAx>
      <c:valAx>
        <c:axId val="264947136"/>
        <c:scaling>
          <c:orientation val="minMax"/>
          <c:max val="3"/>
          <c:min val="-3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46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Brand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Analysis!$B$34:$B$35</c:f>
              <c:strCache>
                <c:ptCount val="2"/>
                <c:pt idx="0">
                  <c:v>Google Fitbit</c:v>
                </c:pt>
                <c:pt idx="1">
                  <c:v>Apple</c:v>
                </c:pt>
              </c:strCache>
            </c:strRef>
          </c:cat>
          <c:val>
            <c:numRef>
              <c:f>Analysis!$C$34:$C$35</c:f>
              <c:numCache>
                <c:formatCode>0.00</c:formatCode>
                <c:ptCount val="2"/>
                <c:pt idx="0">
                  <c:v>0</c:v>
                </c:pt>
                <c:pt idx="1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5-43CC-9306-2DCFC4C92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06116256"/>
        <c:axId val="406102336"/>
      </c:lineChart>
      <c:catAx>
        <c:axId val="4061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02336"/>
        <c:crosses val="autoZero"/>
        <c:auto val="1"/>
        <c:lblAlgn val="ctr"/>
        <c:lblOffset val="100"/>
        <c:noMultiLvlLbl val="0"/>
      </c:catAx>
      <c:valAx>
        <c:axId val="406102336"/>
        <c:scaling>
          <c:orientation val="minMax"/>
          <c:max val="3"/>
          <c:min val="-3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4958333333333335"/>
          <c:w val="0.93888888888888888"/>
          <c:h val="0.77171296296296299"/>
        </c:manualLayout>
      </c:layout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6.6029308836395448E-2"/>
                  <c:y val="0.13888888888888881"/>
                </c:manualLayout>
              </c:layout>
              <c:tx>
                <c:rich>
                  <a:bodyPr/>
                  <a:lstStyle/>
                  <a:p>
                    <a:fld id="{FDDBA898-3A0A-4746-AB54-06253850D31D}" type="CELLRANGE">
                      <a:rPr lang="en-US"/>
                      <a:pPr/>
                      <a:t>[CELLRANGE]</a:t>
                    </a:fld>
                    <a:endParaRPr lang="en-I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083-484E-840A-054E915F7687}"/>
                </c:ext>
              </c:extLst>
            </c:dLbl>
            <c:dLbl>
              <c:idx val="1"/>
              <c:layout>
                <c:manualLayout>
                  <c:x val="-0.14791579177602798"/>
                  <c:y val="2.3148148148148147E-2"/>
                </c:manualLayout>
              </c:layout>
              <c:tx>
                <c:rich>
                  <a:bodyPr/>
                  <a:lstStyle/>
                  <a:p>
                    <a:fld id="{1FE52164-7C83-4F23-8E19-C600734599A1}" type="CELLRANGE">
                      <a:rPr lang="en-US"/>
                      <a:pPr/>
                      <a:t>[CELLRANGE]</a:t>
                    </a:fld>
                    <a:endParaRPr lang="en-I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083-484E-840A-054E915F7687}"/>
                </c:ext>
              </c:extLst>
            </c:dLbl>
            <c:dLbl>
              <c:idx val="2"/>
              <c:layout>
                <c:manualLayout>
                  <c:x val="1.4034776902887241E-2"/>
                  <c:y val="4.6296296296296294E-3"/>
                </c:manualLayout>
              </c:layout>
              <c:tx>
                <c:rich>
                  <a:bodyPr/>
                  <a:lstStyle/>
                  <a:p>
                    <a:fld id="{129160EC-E5BE-4C51-B675-62C27A24FE5A}" type="CELLRANGE">
                      <a:rPr lang="en-US"/>
                      <a:pPr/>
                      <a:t>[CELLRANGE]</a:t>
                    </a:fld>
                    <a:endParaRPr lang="en-IE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083-484E-840A-054E915F7687}"/>
                </c:ext>
              </c:extLst>
            </c:dLbl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val>
            <c:numRef>
              <c:f>Analysis!$C$36:$C$38</c:f>
              <c:numCache>
                <c:formatCode>General</c:formatCode>
                <c:ptCount val="3"/>
                <c:pt idx="0">
                  <c:v>0</c:v>
                </c:pt>
                <c:pt idx="1">
                  <c:v>-1.6950000000000001</c:v>
                </c:pt>
                <c:pt idx="2">
                  <c:v>-2.85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Analysis!$B$36:$B$38</c15:f>
                <c15:dlblRangeCache>
                  <c:ptCount val="3"/>
                  <c:pt idx="0">
                    <c:v>199</c:v>
                  </c:pt>
                  <c:pt idx="1">
                    <c:v>249</c:v>
                  </c:pt>
                  <c:pt idx="2">
                    <c:v>399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4083-484E-840A-054E915F76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64949056"/>
        <c:axId val="265956192"/>
      </c:lineChart>
      <c:catAx>
        <c:axId val="264949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956192"/>
        <c:crosses val="autoZero"/>
        <c:auto val="1"/>
        <c:lblAlgn val="ctr"/>
        <c:lblOffset val="100"/>
        <c:noMultiLvlLbl val="0"/>
      </c:catAx>
      <c:valAx>
        <c:axId val="265956192"/>
        <c:scaling>
          <c:orientation val="minMax"/>
          <c:max val="3"/>
          <c:min val="-3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94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249187</xdr:colOff>
      <xdr:row>9</xdr:row>
      <xdr:rowOff>90824</xdr:rowOff>
    </xdr:from>
    <xdr:to>
      <xdr:col>6</xdr:col>
      <xdr:colOff>2732423</xdr:colOff>
      <xdr:row>18</xdr:row>
      <xdr:rowOff>481060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0309A4-DEAD-DF15-5666-CCBE7566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74625</xdr:colOff>
      <xdr:row>47</xdr:row>
      <xdr:rowOff>64414</xdr:rowOff>
    </xdr:from>
    <xdr:to>
      <xdr:col>3</xdr:col>
      <xdr:colOff>79038</xdr:colOff>
      <xdr:row>62</xdr:row>
      <xdr:rowOff>113797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5D8D74-55B9-F064-B4F1-D7BD2C16E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259205</xdr:colOff>
      <xdr:row>24</xdr:row>
      <xdr:rowOff>70162</xdr:rowOff>
    </xdr:from>
    <xdr:to>
      <xdr:col>9</xdr:col>
      <xdr:colOff>53090</xdr:colOff>
      <xdr:row>39</xdr:row>
      <xdr:rowOff>2706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463248-F2D4-D8DC-37B9-80AA7CF69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207155</xdr:colOff>
      <xdr:row>24</xdr:row>
      <xdr:rowOff>70162</xdr:rowOff>
    </xdr:from>
    <xdr:to>
      <xdr:col>16</xdr:col>
      <xdr:colOff>479893</xdr:colOff>
      <xdr:row>39</xdr:row>
      <xdr:rowOff>2706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3A23C6-B20D-BB4B-0FF4-CA7EE66C7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248795</xdr:colOff>
      <xdr:row>39</xdr:row>
      <xdr:rowOff>59752</xdr:rowOff>
    </xdr:from>
    <xdr:to>
      <xdr:col>9</xdr:col>
      <xdr:colOff>42680</xdr:colOff>
      <xdr:row>53</xdr:row>
      <xdr:rowOff>179673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E0BE54-08CD-AA2C-1D64-315DDB0D6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207155</xdr:colOff>
      <xdr:row>39</xdr:row>
      <xdr:rowOff>49343</xdr:rowOff>
    </xdr:from>
    <xdr:to>
      <xdr:col>16</xdr:col>
      <xdr:colOff>479893</xdr:colOff>
      <xdr:row>53</xdr:row>
      <xdr:rowOff>169264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3FB8D0-BC9C-4A0F-4941-29FFBC3959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217565</xdr:colOff>
      <xdr:row>54</xdr:row>
      <xdr:rowOff>38933</xdr:rowOff>
    </xdr:from>
    <xdr:to>
      <xdr:col>13</xdr:col>
      <xdr:colOff>563172</xdr:colOff>
      <xdr:row>68</xdr:row>
      <xdr:rowOff>158855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D32B6E-4723-C259-EBA3-D95175843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hup/Desktop/DDM%20Group%20Project/Cluster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utosh Pathak" refreshedDate="45641.815844444442" createdVersion="8" refreshedVersion="8" minRefreshableVersion="3" recordCount="56" xr:uid="{1230DC02-A4A0-4D34-B073-BEF787B42714}">
  <cacheSource type="worksheet">
    <worksheetSource ref="A1:L57" sheet="Cluster" r:id="rId2"/>
  </cacheSource>
  <cacheFields count="12">
    <cacheField name="SrNo" numFmtId="1">
      <sharedItems containsSemiMixedTypes="0" containsString="0" containsNumber="1" containsInteger="1" minValue="1" maxValue="56"/>
    </cacheField>
    <cacheField name="Gendernum" numFmtId="1">
      <sharedItems containsSemiMixedTypes="0" containsString="0" containsNumber="1" containsInteger="1" minValue="0" maxValue="1"/>
    </cacheField>
    <cacheField name="High Price Purchasing range" numFmtId="1">
      <sharedItems containsSemiMixedTypes="0" containsString="0" containsNumber="1" containsInteger="1" minValue="0" maxValue="1"/>
    </cacheField>
    <cacheField name="NeverOwned" numFmtId="1">
      <sharedItems containsSemiMixedTypes="0" containsString="0" containsNumber="1" containsInteger="1" minValue="0" maxValue="1"/>
    </cacheField>
    <cacheField name="HighUsage + Ownership" numFmtId="1">
      <sharedItems containsSemiMixedTypes="0" containsString="0" containsNumber="1" containsInteger="1" minValue="0" maxValue="1"/>
    </cacheField>
    <cacheField name="Age (young) + Price Range (Low price)" numFmtId="1">
      <sharedItems containsSemiMixedTypes="0" containsString="0" containsNumber="1" containsInteger="1" minValue="0" maxValue="1"/>
    </cacheField>
    <cacheField name="ZAgeyoungPriceRangeLowprice" numFmtId="169">
      <sharedItems containsSemiMixedTypes="0" containsString="0" containsNumber="1" minValue="-1.1035656495456641" maxValue="0.88997229802069666"/>
    </cacheField>
    <cacheField name="ZHighUsageOwnership" numFmtId="169">
      <sharedItems containsSemiMixedTypes="0" containsString="0" containsNumber="1" minValue="-0.88997229802069655" maxValue="1.1035656495456641"/>
    </cacheField>
    <cacheField name="ZHighpricePurchasingrange" numFmtId="169">
      <sharedItems containsSemiMixedTypes="0" containsString="0" containsNumber="1" minValue="-0.19072404509044319" maxValue="5.1495492174419644"/>
    </cacheField>
    <cacheField name="ZNeverOwned" numFmtId="169">
      <sharedItems containsSemiMixedTypes="0" containsString="0" containsNumber="1" minValue="-0.37457458863219706" maxValue="2.6220221204253789"/>
    </cacheField>
    <cacheField name="ZGendernum" numFmtId="169">
      <sharedItems containsSemiMixedTypes="0" containsString="0" containsNumber="1" minValue="-1.2794157892978979" maxValue="0.76764947357873836"/>
    </cacheField>
    <cacheField name="Cluster" numFmtId="1">
      <sharedItems containsSemiMixedTypes="0" containsString="0" containsNumber="1" containsInteger="1" minValue="1" maxValue="5" count="5">
        <n v="1"/>
        <n v="2"/>
        <n v="3"/>
        <n v="5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1"/>
    <n v="1"/>
    <n v="1"/>
    <n v="0"/>
    <n v="1"/>
    <n v="0"/>
    <n v="-1.1035656495456641"/>
    <n v="1.1035656495456641"/>
    <n v="5.1495492174419644"/>
    <n v="-0.37457458863219706"/>
    <n v="0.76764947357873836"/>
    <x v="0"/>
  </r>
  <r>
    <n v="2"/>
    <n v="1"/>
    <n v="0"/>
    <n v="0"/>
    <n v="1"/>
    <n v="1"/>
    <n v="0.88997229802069666"/>
    <n v="1.1035656495456641"/>
    <n v="-0.19072404509044319"/>
    <n v="-0.37457458863219706"/>
    <n v="0.76764947357873836"/>
    <x v="1"/>
  </r>
  <r>
    <n v="3"/>
    <n v="1"/>
    <n v="0"/>
    <n v="0"/>
    <n v="1"/>
    <n v="1"/>
    <n v="0.88997229802069666"/>
    <n v="1.1035656495456641"/>
    <n v="-0.19072404509044319"/>
    <n v="-0.37457458863219706"/>
    <n v="0.76764947357873836"/>
    <x v="1"/>
  </r>
  <r>
    <n v="4"/>
    <n v="1"/>
    <n v="0"/>
    <n v="0"/>
    <n v="1"/>
    <n v="0"/>
    <n v="-1.1035656495456641"/>
    <n v="1.1035656495456641"/>
    <n v="-0.19072404509044319"/>
    <n v="-0.37457458863219706"/>
    <n v="0.76764947357873836"/>
    <x v="1"/>
  </r>
  <r>
    <n v="5"/>
    <n v="1"/>
    <n v="0"/>
    <n v="0"/>
    <n v="1"/>
    <n v="1"/>
    <n v="0.88997229802069666"/>
    <n v="1.1035656495456641"/>
    <n v="-0.19072404509044319"/>
    <n v="-0.37457458863219706"/>
    <n v="0.76764947357873836"/>
    <x v="1"/>
  </r>
  <r>
    <n v="6"/>
    <n v="1"/>
    <n v="0"/>
    <n v="0"/>
    <n v="1"/>
    <n v="1"/>
    <n v="0.88997229802069666"/>
    <n v="1.1035656495456641"/>
    <n v="-0.19072404509044319"/>
    <n v="-0.37457458863219706"/>
    <n v="0.76764947357873836"/>
    <x v="1"/>
  </r>
  <r>
    <n v="7"/>
    <n v="0"/>
    <n v="0"/>
    <n v="0"/>
    <n v="1"/>
    <n v="0"/>
    <n v="-1.1035656495456641"/>
    <n v="1.1035656495456641"/>
    <n v="-0.19072404509044319"/>
    <n v="-0.37457458863219706"/>
    <n v="-1.2794157892978979"/>
    <x v="2"/>
  </r>
  <r>
    <n v="8"/>
    <n v="1"/>
    <n v="0"/>
    <n v="0"/>
    <n v="1"/>
    <n v="0"/>
    <n v="-1.1035656495456641"/>
    <n v="1.1035656495456641"/>
    <n v="-0.19072404509044319"/>
    <n v="-0.37457458863219706"/>
    <n v="0.76764947357873836"/>
    <x v="1"/>
  </r>
  <r>
    <n v="9"/>
    <n v="1"/>
    <n v="0"/>
    <n v="0"/>
    <n v="0"/>
    <n v="0"/>
    <n v="-1.1035656495456641"/>
    <n v="-0.88997229802069655"/>
    <n v="-0.19072404509044319"/>
    <n v="-0.37457458863219706"/>
    <n v="0.76764947357873836"/>
    <x v="3"/>
  </r>
  <r>
    <n v="10"/>
    <n v="1"/>
    <n v="0"/>
    <n v="0"/>
    <n v="1"/>
    <n v="0"/>
    <n v="-1.1035656495456641"/>
    <n v="1.1035656495456641"/>
    <n v="-0.19072404509044319"/>
    <n v="-0.37457458863219706"/>
    <n v="0.76764947357873836"/>
    <x v="1"/>
  </r>
  <r>
    <n v="11"/>
    <n v="1"/>
    <n v="0"/>
    <n v="0"/>
    <n v="1"/>
    <n v="1"/>
    <n v="0.88997229802069666"/>
    <n v="1.1035656495456641"/>
    <n v="-0.19072404509044319"/>
    <n v="-0.37457458863219706"/>
    <n v="0.76764947357873836"/>
    <x v="1"/>
  </r>
  <r>
    <n v="12"/>
    <n v="1"/>
    <n v="0"/>
    <n v="1"/>
    <n v="0"/>
    <n v="0"/>
    <n v="-1.1035656495456641"/>
    <n v="-0.88997229802069655"/>
    <n v="-0.19072404509044319"/>
    <n v="2.6220221204253789"/>
    <n v="0.76764947357873836"/>
    <x v="4"/>
  </r>
  <r>
    <n v="13"/>
    <n v="1"/>
    <n v="0"/>
    <n v="1"/>
    <n v="0"/>
    <n v="1"/>
    <n v="0.88997229802069666"/>
    <n v="-0.88997229802069655"/>
    <n v="-0.19072404509044319"/>
    <n v="2.6220221204253789"/>
    <n v="0.76764947357873836"/>
    <x v="4"/>
  </r>
  <r>
    <n v="14"/>
    <n v="1"/>
    <n v="0"/>
    <n v="0"/>
    <n v="0"/>
    <n v="0"/>
    <n v="-1.1035656495456641"/>
    <n v="-0.88997229802069655"/>
    <n v="-0.19072404509044319"/>
    <n v="-0.37457458863219706"/>
    <n v="0.76764947357873836"/>
    <x v="3"/>
  </r>
  <r>
    <n v="15"/>
    <n v="1"/>
    <n v="0"/>
    <n v="1"/>
    <n v="0"/>
    <n v="1"/>
    <n v="0.88997229802069666"/>
    <n v="-0.88997229802069655"/>
    <n v="-0.19072404509044319"/>
    <n v="2.6220221204253789"/>
    <n v="0.76764947357873836"/>
    <x v="4"/>
  </r>
  <r>
    <n v="16"/>
    <n v="1"/>
    <n v="0"/>
    <n v="0"/>
    <n v="0"/>
    <n v="0"/>
    <n v="-1.1035656495456641"/>
    <n v="-0.88997229802069655"/>
    <n v="-0.19072404509044319"/>
    <n v="-0.37457458863219706"/>
    <n v="0.76764947357873836"/>
    <x v="3"/>
  </r>
  <r>
    <n v="17"/>
    <n v="1"/>
    <n v="0"/>
    <n v="0"/>
    <n v="0"/>
    <n v="1"/>
    <n v="0.88997229802069666"/>
    <n v="-0.88997229802069655"/>
    <n v="-0.19072404509044319"/>
    <n v="-0.37457458863219706"/>
    <n v="0.76764947357873836"/>
    <x v="1"/>
  </r>
  <r>
    <n v="18"/>
    <n v="1"/>
    <n v="0"/>
    <n v="0"/>
    <n v="0"/>
    <n v="0"/>
    <n v="-1.1035656495456641"/>
    <n v="-0.88997229802069655"/>
    <n v="-0.19072404509044319"/>
    <n v="-0.37457458863219706"/>
    <n v="0.76764947357873836"/>
    <x v="3"/>
  </r>
  <r>
    <n v="19"/>
    <n v="1"/>
    <n v="0"/>
    <n v="0"/>
    <n v="0"/>
    <n v="1"/>
    <n v="0.88997229802069666"/>
    <n v="-0.88997229802069655"/>
    <n v="-0.19072404509044319"/>
    <n v="-0.37457458863219706"/>
    <n v="0.76764947357873836"/>
    <x v="1"/>
  </r>
  <r>
    <n v="20"/>
    <n v="1"/>
    <n v="0"/>
    <n v="0"/>
    <n v="0"/>
    <n v="1"/>
    <n v="0.88997229802069666"/>
    <n v="-0.88997229802069655"/>
    <n v="-0.19072404509044319"/>
    <n v="-0.37457458863219706"/>
    <n v="0.76764947357873836"/>
    <x v="1"/>
  </r>
  <r>
    <n v="21"/>
    <n v="1"/>
    <n v="0"/>
    <n v="0"/>
    <n v="0"/>
    <n v="0"/>
    <n v="-1.1035656495456641"/>
    <n v="-0.88997229802069655"/>
    <n v="-0.19072404509044319"/>
    <n v="-0.37457458863219706"/>
    <n v="0.76764947357873836"/>
    <x v="3"/>
  </r>
  <r>
    <n v="22"/>
    <n v="1"/>
    <n v="0"/>
    <n v="1"/>
    <n v="0"/>
    <n v="1"/>
    <n v="0.88997229802069666"/>
    <n v="-0.88997229802069655"/>
    <n v="-0.19072404509044319"/>
    <n v="2.6220221204253789"/>
    <n v="0.76764947357873836"/>
    <x v="4"/>
  </r>
  <r>
    <n v="23"/>
    <n v="1"/>
    <n v="0"/>
    <n v="0"/>
    <n v="1"/>
    <n v="0"/>
    <n v="-1.1035656495456641"/>
    <n v="1.1035656495456641"/>
    <n v="-0.19072404509044319"/>
    <n v="-0.37457458863219706"/>
    <n v="0.76764947357873836"/>
    <x v="1"/>
  </r>
  <r>
    <n v="24"/>
    <n v="1"/>
    <n v="0"/>
    <n v="0"/>
    <n v="1"/>
    <n v="0"/>
    <n v="-1.1035656495456641"/>
    <n v="1.1035656495456641"/>
    <n v="-0.19072404509044319"/>
    <n v="-0.37457458863219706"/>
    <n v="0.76764947357873836"/>
    <x v="1"/>
  </r>
  <r>
    <n v="25"/>
    <n v="1"/>
    <n v="0"/>
    <n v="0"/>
    <n v="1"/>
    <n v="1"/>
    <n v="0.88997229802069666"/>
    <n v="1.1035656495456641"/>
    <n v="-0.19072404509044319"/>
    <n v="-0.37457458863219706"/>
    <n v="0.76764947357873836"/>
    <x v="1"/>
  </r>
  <r>
    <n v="26"/>
    <n v="1"/>
    <n v="0"/>
    <n v="0"/>
    <n v="0"/>
    <n v="0"/>
    <n v="-1.1035656495456641"/>
    <n v="-0.88997229802069655"/>
    <n v="-0.19072404509044319"/>
    <n v="-0.37457458863219706"/>
    <n v="0.76764947357873836"/>
    <x v="3"/>
  </r>
  <r>
    <n v="27"/>
    <n v="1"/>
    <n v="0"/>
    <n v="0"/>
    <n v="0"/>
    <n v="1"/>
    <n v="0.88997229802069666"/>
    <n v="-0.88997229802069655"/>
    <n v="-0.19072404509044319"/>
    <n v="-0.37457458863219706"/>
    <n v="0.76764947357873836"/>
    <x v="1"/>
  </r>
  <r>
    <n v="28"/>
    <n v="0"/>
    <n v="0"/>
    <n v="0"/>
    <n v="0"/>
    <n v="0"/>
    <n v="-1.1035656495456641"/>
    <n v="-0.88997229802069655"/>
    <n v="-0.19072404509044319"/>
    <n v="-0.37457458863219706"/>
    <n v="-1.2794157892978979"/>
    <x v="2"/>
  </r>
  <r>
    <n v="29"/>
    <n v="0"/>
    <n v="0"/>
    <n v="1"/>
    <n v="0"/>
    <n v="1"/>
    <n v="0.88997229802069666"/>
    <n v="-0.88997229802069655"/>
    <n v="-0.19072404509044319"/>
    <n v="2.6220221204253789"/>
    <n v="-1.2794157892978979"/>
    <x v="4"/>
  </r>
  <r>
    <n v="30"/>
    <n v="1"/>
    <n v="0"/>
    <n v="0"/>
    <n v="0"/>
    <n v="0"/>
    <n v="-1.1035656495456641"/>
    <n v="-0.88997229802069655"/>
    <n v="-0.19072404509044319"/>
    <n v="-0.37457458863219706"/>
    <n v="0.76764947357873836"/>
    <x v="3"/>
  </r>
  <r>
    <n v="31"/>
    <n v="0"/>
    <n v="0"/>
    <n v="0"/>
    <n v="0"/>
    <n v="1"/>
    <n v="0.88997229802069666"/>
    <n v="-0.88997229802069655"/>
    <n v="-0.19072404509044319"/>
    <n v="-0.37457458863219706"/>
    <n v="-1.2794157892978979"/>
    <x v="2"/>
  </r>
  <r>
    <n v="32"/>
    <n v="0"/>
    <n v="0"/>
    <n v="0"/>
    <n v="0"/>
    <n v="1"/>
    <n v="0.88997229802069666"/>
    <n v="-0.88997229802069655"/>
    <n v="-0.19072404509044319"/>
    <n v="-0.37457458863219706"/>
    <n v="-1.2794157892978979"/>
    <x v="2"/>
  </r>
  <r>
    <n v="33"/>
    <n v="1"/>
    <n v="0"/>
    <n v="0"/>
    <n v="1"/>
    <n v="0"/>
    <n v="-1.1035656495456641"/>
    <n v="1.1035656495456641"/>
    <n v="-0.19072404509044319"/>
    <n v="-0.37457458863219706"/>
    <n v="0.76764947357873836"/>
    <x v="1"/>
  </r>
  <r>
    <n v="34"/>
    <n v="1"/>
    <n v="0"/>
    <n v="0"/>
    <n v="1"/>
    <n v="1"/>
    <n v="0.88997229802069666"/>
    <n v="1.1035656495456641"/>
    <n v="-0.19072404509044319"/>
    <n v="-0.37457458863219706"/>
    <n v="0.76764947357873836"/>
    <x v="1"/>
  </r>
  <r>
    <n v="35"/>
    <n v="0"/>
    <n v="0"/>
    <n v="0"/>
    <n v="1"/>
    <n v="0"/>
    <n v="-1.1035656495456641"/>
    <n v="1.1035656495456641"/>
    <n v="-0.19072404509044319"/>
    <n v="-0.37457458863219706"/>
    <n v="-1.2794157892978979"/>
    <x v="2"/>
  </r>
  <r>
    <n v="36"/>
    <n v="1"/>
    <n v="0"/>
    <n v="1"/>
    <n v="0"/>
    <n v="1"/>
    <n v="0.88997229802069666"/>
    <n v="-0.88997229802069655"/>
    <n v="-0.19072404509044319"/>
    <n v="2.6220221204253789"/>
    <n v="0.76764947357873836"/>
    <x v="4"/>
  </r>
  <r>
    <n v="37"/>
    <n v="1"/>
    <n v="0"/>
    <n v="0"/>
    <n v="1"/>
    <n v="1"/>
    <n v="0.88997229802069666"/>
    <n v="1.1035656495456641"/>
    <n v="-0.19072404509044319"/>
    <n v="-0.37457458863219706"/>
    <n v="0.76764947357873836"/>
    <x v="1"/>
  </r>
  <r>
    <n v="38"/>
    <n v="0"/>
    <n v="0"/>
    <n v="0"/>
    <n v="0"/>
    <n v="1"/>
    <n v="0.88997229802069666"/>
    <n v="-0.88997229802069655"/>
    <n v="-0.19072404509044319"/>
    <n v="-0.37457458863219706"/>
    <n v="-1.2794157892978979"/>
    <x v="2"/>
  </r>
  <r>
    <n v="39"/>
    <n v="0"/>
    <n v="0"/>
    <n v="0"/>
    <n v="0"/>
    <n v="1"/>
    <n v="0.88997229802069666"/>
    <n v="-0.88997229802069655"/>
    <n v="-0.19072404509044319"/>
    <n v="-0.37457458863219706"/>
    <n v="-1.2794157892978979"/>
    <x v="2"/>
  </r>
  <r>
    <n v="40"/>
    <n v="1"/>
    <n v="0"/>
    <n v="0"/>
    <n v="1"/>
    <n v="0"/>
    <n v="-1.1035656495456641"/>
    <n v="1.1035656495456641"/>
    <n v="-0.19072404509044319"/>
    <n v="-0.37457458863219706"/>
    <n v="0.76764947357873836"/>
    <x v="1"/>
  </r>
  <r>
    <n v="41"/>
    <n v="1"/>
    <n v="1"/>
    <n v="0"/>
    <n v="1"/>
    <n v="0"/>
    <n v="-1.1035656495456641"/>
    <n v="1.1035656495456641"/>
    <n v="5.1495492174419644"/>
    <n v="-0.37457458863219706"/>
    <n v="0.76764947357873836"/>
    <x v="0"/>
  </r>
  <r>
    <n v="42"/>
    <n v="0"/>
    <n v="0"/>
    <n v="0"/>
    <n v="1"/>
    <n v="1"/>
    <n v="0.88997229802069666"/>
    <n v="1.1035656495456641"/>
    <n v="-0.19072404509044319"/>
    <n v="-0.37457458863219706"/>
    <n v="-1.2794157892978979"/>
    <x v="2"/>
  </r>
  <r>
    <n v="43"/>
    <n v="0"/>
    <n v="0"/>
    <n v="0"/>
    <n v="0"/>
    <n v="1"/>
    <n v="0.88997229802069666"/>
    <n v="-0.88997229802069655"/>
    <n v="-0.19072404509044319"/>
    <n v="-0.37457458863219706"/>
    <n v="-1.2794157892978979"/>
    <x v="2"/>
  </r>
  <r>
    <n v="44"/>
    <n v="1"/>
    <n v="0"/>
    <n v="0"/>
    <n v="0"/>
    <n v="1"/>
    <n v="0.88997229802069666"/>
    <n v="-0.88997229802069655"/>
    <n v="-0.19072404509044319"/>
    <n v="-0.37457458863219706"/>
    <n v="0.76764947357873836"/>
    <x v="1"/>
  </r>
  <r>
    <n v="45"/>
    <n v="0"/>
    <n v="0"/>
    <n v="1"/>
    <n v="0"/>
    <n v="0"/>
    <n v="-1.1035656495456641"/>
    <n v="-0.88997229802069655"/>
    <n v="-0.19072404509044319"/>
    <n v="2.6220221204253789"/>
    <n v="-1.2794157892978979"/>
    <x v="4"/>
  </r>
  <r>
    <n v="46"/>
    <n v="1"/>
    <n v="0"/>
    <n v="0"/>
    <n v="1"/>
    <n v="0"/>
    <n v="-1.1035656495456641"/>
    <n v="1.1035656495456641"/>
    <n v="-0.19072404509044319"/>
    <n v="-0.37457458863219706"/>
    <n v="0.76764947357873836"/>
    <x v="1"/>
  </r>
  <r>
    <n v="47"/>
    <n v="0"/>
    <n v="0"/>
    <n v="0"/>
    <n v="0"/>
    <n v="1"/>
    <n v="0.88997229802069666"/>
    <n v="-0.88997229802069655"/>
    <n v="-0.19072404509044319"/>
    <n v="-0.37457458863219706"/>
    <n v="-1.2794157892978979"/>
    <x v="2"/>
  </r>
  <r>
    <n v="48"/>
    <n v="0"/>
    <n v="0"/>
    <n v="0"/>
    <n v="0"/>
    <n v="1"/>
    <n v="0.88997229802069666"/>
    <n v="-0.88997229802069655"/>
    <n v="-0.19072404509044319"/>
    <n v="-0.37457458863219706"/>
    <n v="-1.2794157892978979"/>
    <x v="2"/>
  </r>
  <r>
    <n v="49"/>
    <n v="0"/>
    <n v="0"/>
    <n v="0"/>
    <n v="1"/>
    <n v="1"/>
    <n v="0.88997229802069666"/>
    <n v="1.1035656495456641"/>
    <n v="-0.19072404509044319"/>
    <n v="-0.37457458863219706"/>
    <n v="-1.2794157892978979"/>
    <x v="2"/>
  </r>
  <r>
    <n v="50"/>
    <n v="0"/>
    <n v="0"/>
    <n v="0"/>
    <n v="0"/>
    <n v="0"/>
    <n v="-1.1035656495456641"/>
    <n v="-0.88997229802069655"/>
    <n v="-0.19072404509044319"/>
    <n v="-0.37457458863219706"/>
    <n v="-1.2794157892978979"/>
    <x v="2"/>
  </r>
  <r>
    <n v="51"/>
    <n v="0"/>
    <n v="0"/>
    <n v="0"/>
    <n v="0"/>
    <n v="1"/>
    <n v="0.88997229802069666"/>
    <n v="-0.88997229802069655"/>
    <n v="-0.19072404509044319"/>
    <n v="-0.37457458863219706"/>
    <n v="-1.2794157892978979"/>
    <x v="2"/>
  </r>
  <r>
    <n v="52"/>
    <n v="0"/>
    <n v="0"/>
    <n v="0"/>
    <n v="1"/>
    <n v="1"/>
    <n v="0.88997229802069666"/>
    <n v="1.1035656495456641"/>
    <n v="-0.19072404509044319"/>
    <n v="-0.37457458863219706"/>
    <n v="-1.2794157892978979"/>
    <x v="2"/>
  </r>
  <r>
    <n v="53"/>
    <n v="0"/>
    <n v="0"/>
    <n v="0"/>
    <n v="0"/>
    <n v="0"/>
    <n v="-1.1035656495456641"/>
    <n v="-0.88997229802069655"/>
    <n v="-0.19072404509044319"/>
    <n v="-0.37457458863219706"/>
    <n v="-1.2794157892978979"/>
    <x v="2"/>
  </r>
  <r>
    <n v="54"/>
    <n v="0"/>
    <n v="0"/>
    <n v="0"/>
    <n v="1"/>
    <n v="1"/>
    <n v="0.88997229802069666"/>
    <n v="1.1035656495456641"/>
    <n v="-0.19072404509044319"/>
    <n v="-0.37457458863219706"/>
    <n v="-1.2794157892978979"/>
    <x v="2"/>
  </r>
  <r>
    <n v="55"/>
    <n v="0"/>
    <n v="0"/>
    <n v="0"/>
    <n v="1"/>
    <n v="1"/>
    <n v="0.88997229802069666"/>
    <n v="1.1035656495456641"/>
    <n v="-0.19072404509044319"/>
    <n v="-0.37457458863219706"/>
    <n v="-1.2794157892978979"/>
    <x v="2"/>
  </r>
  <r>
    <n v="56"/>
    <n v="0"/>
    <n v="0"/>
    <n v="0"/>
    <n v="0"/>
    <n v="0"/>
    <n v="-1.1035656495456641"/>
    <n v="-0.88997229802069655"/>
    <n v="-0.19072404509044319"/>
    <n v="-0.37457458863219706"/>
    <n v="-1.279415789297897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BD6FB-8716-43D2-B618-7C3492F19BF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F9" firstHeaderRow="0" firstDataRow="1" firstDataCol="1"/>
  <pivotFields count="12"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69" showAll="0"/>
    <pivotField numFmtId="169" showAll="0"/>
    <pivotField numFmtId="169" showAll="0"/>
    <pivotField numFmtId="169" showAll="0"/>
    <pivotField numFmtId="169" showAll="0"/>
    <pivotField axis="axisRow" numFmtId="1" showAll="0">
      <items count="6">
        <item n="Cluster 1" x="0"/>
        <item n="Cluster 2" x="1"/>
        <item n="Cluster 3" x="2"/>
        <item n="Cluster 4" x="4"/>
        <item n="Cluster 5" x="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Gender" fld="1" subtotal="average" baseField="11" baseItem="0" numFmtId="1"/>
    <dataField name="High Price Purchasing " fld="2" subtotal="average" baseField="11" baseItem="0" numFmtId="1"/>
    <dataField name=" HighUsage + Ownership" fld="4" subtotal="average" baseField="11" baseItem="0" numFmtId="1"/>
    <dataField name=" Never Owned" fld="3" subtotal="average" baseField="11" baseItem="0" numFmtId="1"/>
    <dataField name="Age (young)+Price Range (Low price)" fld="5" subtotal="average" baseField="11" baseItem="0" numFmtId="1"/>
  </dataFields>
  <formats count="1">
    <format dxfId="1">
      <pivotArea collapsedLevelsAreSubtotals="1" fieldPosition="0">
        <references count="1">
          <reference field="11" count="0"/>
        </references>
      </pivotArea>
    </format>
  </formats>
  <chartFormats count="1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2363-8549-4C0D-AF84-377DE2E80978}">
  <dimension ref="A1:F13"/>
  <sheetViews>
    <sheetView workbookViewId="0">
      <selection activeCell="D14" sqref="D14"/>
    </sheetView>
  </sheetViews>
  <sheetFormatPr defaultRowHeight="14.5" x14ac:dyDescent="0.35"/>
  <cols>
    <col min="2" max="2" width="22.54296875" customWidth="1"/>
    <col min="3" max="3" width="20.54296875" customWidth="1"/>
    <col min="4" max="4" width="24.453125" customWidth="1"/>
    <col min="5" max="5" width="13" customWidth="1"/>
    <col min="6" max="6" width="10.453125" customWidth="1"/>
  </cols>
  <sheetData>
    <row r="1" spans="1:6" x14ac:dyDescent="0.35">
      <c r="A1" s="33" t="s">
        <v>201</v>
      </c>
      <c r="B1" s="33" t="s">
        <v>202</v>
      </c>
      <c r="C1" s="33" t="s">
        <v>248</v>
      </c>
      <c r="D1" s="33" t="s">
        <v>204</v>
      </c>
      <c r="E1" s="33" t="s">
        <v>205</v>
      </c>
      <c r="F1" s="33" t="s">
        <v>206</v>
      </c>
    </row>
    <row r="2" spans="1:6" x14ac:dyDescent="0.35">
      <c r="A2" s="24">
        <v>1</v>
      </c>
      <c r="B2" s="24" t="s">
        <v>249</v>
      </c>
      <c r="C2" s="24" t="s">
        <v>215</v>
      </c>
      <c r="D2" s="24" t="s">
        <v>250</v>
      </c>
      <c r="E2" s="24" t="s">
        <v>219</v>
      </c>
      <c r="F2" s="34">
        <v>249</v>
      </c>
    </row>
    <row r="3" spans="1:6" x14ac:dyDescent="0.35">
      <c r="A3" s="24">
        <v>2</v>
      </c>
      <c r="B3" s="24" t="s">
        <v>249</v>
      </c>
      <c r="C3" s="24" t="s">
        <v>215</v>
      </c>
      <c r="D3" s="24" t="s">
        <v>251</v>
      </c>
      <c r="E3" s="24" t="s">
        <v>210</v>
      </c>
      <c r="F3" s="34">
        <v>399</v>
      </c>
    </row>
    <row r="4" spans="1:6" x14ac:dyDescent="0.35">
      <c r="A4" s="24">
        <v>3</v>
      </c>
      <c r="B4" s="24" t="s">
        <v>252</v>
      </c>
      <c r="C4" s="24" t="s">
        <v>208</v>
      </c>
      <c r="D4" s="24" t="s">
        <v>251</v>
      </c>
      <c r="E4" s="24" t="s">
        <v>219</v>
      </c>
      <c r="F4" s="34">
        <v>249</v>
      </c>
    </row>
    <row r="5" spans="1:6" x14ac:dyDescent="0.35">
      <c r="A5" s="24">
        <v>4</v>
      </c>
      <c r="B5" s="24" t="s">
        <v>249</v>
      </c>
      <c r="C5" s="24" t="s">
        <v>215</v>
      </c>
      <c r="D5" s="24" t="s">
        <v>251</v>
      </c>
      <c r="E5" s="24" t="s">
        <v>219</v>
      </c>
      <c r="F5" s="34">
        <v>199</v>
      </c>
    </row>
    <row r="6" spans="1:6" x14ac:dyDescent="0.35">
      <c r="A6" s="24">
        <v>5</v>
      </c>
      <c r="B6" s="24" t="s">
        <v>249</v>
      </c>
      <c r="C6" s="24" t="s">
        <v>208</v>
      </c>
      <c r="D6" s="24" t="s">
        <v>251</v>
      </c>
      <c r="E6" s="24" t="s">
        <v>210</v>
      </c>
      <c r="F6" s="34">
        <v>199</v>
      </c>
    </row>
    <row r="7" spans="1:6" x14ac:dyDescent="0.35">
      <c r="A7" s="24">
        <v>6</v>
      </c>
      <c r="B7" s="24" t="s">
        <v>249</v>
      </c>
      <c r="C7" s="24" t="s">
        <v>208</v>
      </c>
      <c r="D7" s="24" t="s">
        <v>250</v>
      </c>
      <c r="E7" s="24" t="s">
        <v>210</v>
      </c>
      <c r="F7" s="34">
        <v>249</v>
      </c>
    </row>
    <row r="8" spans="1:6" x14ac:dyDescent="0.35">
      <c r="A8" s="24">
        <v>7</v>
      </c>
      <c r="B8" s="24" t="s">
        <v>252</v>
      </c>
      <c r="C8" s="24" t="s">
        <v>215</v>
      </c>
      <c r="D8" s="24" t="s">
        <v>251</v>
      </c>
      <c r="E8" s="24" t="s">
        <v>210</v>
      </c>
      <c r="F8" s="34">
        <v>249</v>
      </c>
    </row>
    <row r="9" spans="1:6" x14ac:dyDescent="0.35">
      <c r="A9" s="24">
        <v>8</v>
      </c>
      <c r="B9" s="24" t="s">
        <v>252</v>
      </c>
      <c r="C9" s="24" t="s">
        <v>208</v>
      </c>
      <c r="D9" s="24" t="s">
        <v>250</v>
      </c>
      <c r="E9" s="24" t="s">
        <v>210</v>
      </c>
      <c r="F9" s="34">
        <v>199</v>
      </c>
    </row>
    <row r="10" spans="1:6" x14ac:dyDescent="0.35">
      <c r="A10" s="24">
        <v>9</v>
      </c>
      <c r="B10" s="24" t="s">
        <v>249</v>
      </c>
      <c r="C10" s="24" t="s">
        <v>208</v>
      </c>
      <c r="D10" s="24" t="s">
        <v>250</v>
      </c>
      <c r="E10" s="24" t="s">
        <v>219</v>
      </c>
      <c r="F10" s="34">
        <v>399</v>
      </c>
    </row>
    <row r="11" spans="1:6" ht="17.149999999999999" customHeight="1" x14ac:dyDescent="0.35">
      <c r="A11" s="24">
        <v>10</v>
      </c>
      <c r="B11" s="24" t="s">
        <v>252</v>
      </c>
      <c r="C11" s="24" t="s">
        <v>208</v>
      </c>
      <c r="D11" s="24" t="s">
        <v>251</v>
      </c>
      <c r="E11" s="24" t="s">
        <v>219</v>
      </c>
      <c r="F11" s="34">
        <v>399</v>
      </c>
    </row>
    <row r="12" spans="1:6" x14ac:dyDescent="0.35">
      <c r="A12" s="24">
        <v>11</v>
      </c>
      <c r="B12" s="24" t="s">
        <v>252</v>
      </c>
      <c r="C12" s="24" t="s">
        <v>215</v>
      </c>
      <c r="D12" s="24" t="s">
        <v>250</v>
      </c>
      <c r="E12" s="24" t="s">
        <v>210</v>
      </c>
      <c r="F12" s="34">
        <v>399</v>
      </c>
    </row>
    <row r="13" spans="1:6" x14ac:dyDescent="0.35">
      <c r="A13" s="24">
        <v>12</v>
      </c>
      <c r="B13" s="24" t="s">
        <v>252</v>
      </c>
      <c r="C13" s="24" t="s">
        <v>215</v>
      </c>
      <c r="D13" s="24" t="s">
        <v>250</v>
      </c>
      <c r="E13" s="24" t="s">
        <v>219</v>
      </c>
      <c r="F13" s="34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7B84-96B4-4609-9F46-FDCEADA5541D}">
  <dimension ref="A1:M28"/>
  <sheetViews>
    <sheetView zoomScale="81" workbookViewId="0">
      <selection activeCell="H2" sqref="H2"/>
    </sheetView>
  </sheetViews>
  <sheetFormatPr defaultRowHeight="14.5" x14ac:dyDescent="0.35"/>
  <cols>
    <col min="2" max="2" width="15.81640625" customWidth="1"/>
    <col min="3" max="3" width="26.7265625" bestFit="1" customWidth="1"/>
    <col min="4" max="4" width="9.1796875" customWidth="1"/>
    <col min="5" max="5" width="9.54296875" bestFit="1" customWidth="1"/>
    <col min="6" max="6" width="11.1796875" customWidth="1"/>
    <col min="8" max="8" width="27.7265625" bestFit="1" customWidth="1"/>
    <col min="9" max="9" width="19.54296875" bestFit="1" customWidth="1"/>
    <col min="10" max="10" width="15.81640625" bestFit="1" customWidth="1"/>
    <col min="11" max="11" width="11.453125" bestFit="1" customWidth="1"/>
    <col min="12" max="12" width="10" customWidth="1"/>
  </cols>
  <sheetData>
    <row r="1" spans="1:13" x14ac:dyDescent="0.35">
      <c r="A1" s="9" t="s">
        <v>201</v>
      </c>
      <c r="B1" s="23" t="s">
        <v>202</v>
      </c>
      <c r="C1" s="23" t="s">
        <v>203</v>
      </c>
      <c r="D1" s="23" t="s">
        <v>204</v>
      </c>
      <c r="E1" s="23" t="s">
        <v>205</v>
      </c>
      <c r="F1" s="23" t="s">
        <v>206</v>
      </c>
      <c r="H1" s="25" t="s">
        <v>213</v>
      </c>
      <c r="I1" s="10" t="s">
        <v>215</v>
      </c>
      <c r="J1" s="10" t="s">
        <v>217</v>
      </c>
      <c r="K1" s="10" t="s">
        <v>219</v>
      </c>
      <c r="L1" s="26">
        <v>249</v>
      </c>
      <c r="M1" s="26">
        <v>399</v>
      </c>
    </row>
    <row r="2" spans="1:13" x14ac:dyDescent="0.35">
      <c r="A2" s="11">
        <v>1</v>
      </c>
      <c r="B2" s="32">
        <v>2</v>
      </c>
      <c r="C2" s="32">
        <v>2</v>
      </c>
      <c r="D2" s="32">
        <v>1</v>
      </c>
      <c r="E2" s="32">
        <v>2</v>
      </c>
      <c r="F2" s="32">
        <v>2</v>
      </c>
      <c r="H2" s="27">
        <f>IF(B2=2,1,0)</f>
        <v>1</v>
      </c>
      <c r="I2" s="14">
        <f>IF(C2=2,1,0)</f>
        <v>1</v>
      </c>
      <c r="J2" s="14">
        <f>IF(D2=2,1,0)</f>
        <v>0</v>
      </c>
      <c r="K2" s="14">
        <f>IF(E2=2,1,0)</f>
        <v>1</v>
      </c>
      <c r="L2" s="28">
        <f>IF(F2=2,1,0)</f>
        <v>1</v>
      </c>
      <c r="M2" s="14">
        <f>IF(F2=3,1,0)</f>
        <v>0</v>
      </c>
    </row>
    <row r="3" spans="1:13" x14ac:dyDescent="0.35">
      <c r="A3" s="11">
        <v>2</v>
      </c>
      <c r="B3" s="32">
        <v>2</v>
      </c>
      <c r="C3" s="32">
        <v>2</v>
      </c>
      <c r="D3" s="32">
        <v>2</v>
      </c>
      <c r="E3" s="32">
        <v>1</v>
      </c>
      <c r="F3" s="32">
        <v>3</v>
      </c>
      <c r="H3" s="27">
        <f t="shared" ref="H3:H13" si="0">IF(B3=2,1,0)</f>
        <v>1</v>
      </c>
      <c r="I3" s="14">
        <f t="shared" ref="I3:I13" si="1">IF(C3=2,1,0)</f>
        <v>1</v>
      </c>
      <c r="J3" s="14">
        <f t="shared" ref="J3:J13" si="2">IF(D3=2,1,0)</f>
        <v>1</v>
      </c>
      <c r="K3" s="14">
        <f t="shared" ref="K3:K13" si="3">IF(E3=2,1,0)</f>
        <v>0</v>
      </c>
      <c r="L3" s="28">
        <f t="shared" ref="L3:L13" si="4">IF(F3=2,1,0)</f>
        <v>0</v>
      </c>
      <c r="M3" s="14">
        <f t="shared" ref="M3:M13" si="5">IF(F3=3,1,0)</f>
        <v>1</v>
      </c>
    </row>
    <row r="4" spans="1:13" x14ac:dyDescent="0.35">
      <c r="A4" s="11">
        <v>3</v>
      </c>
      <c r="B4" s="32">
        <v>1</v>
      </c>
      <c r="C4" s="32">
        <v>1</v>
      </c>
      <c r="D4" s="32">
        <v>2</v>
      </c>
      <c r="E4" s="32">
        <v>2</v>
      </c>
      <c r="F4" s="32">
        <v>2</v>
      </c>
      <c r="H4" s="27">
        <f t="shared" si="0"/>
        <v>0</v>
      </c>
      <c r="I4" s="14">
        <f t="shared" si="1"/>
        <v>0</v>
      </c>
      <c r="J4" s="14">
        <f t="shared" si="2"/>
        <v>1</v>
      </c>
      <c r="K4" s="14">
        <f t="shared" si="3"/>
        <v>1</v>
      </c>
      <c r="L4" s="28">
        <f t="shared" si="4"/>
        <v>1</v>
      </c>
      <c r="M4" s="14">
        <f t="shared" si="5"/>
        <v>0</v>
      </c>
    </row>
    <row r="5" spans="1:13" x14ac:dyDescent="0.35">
      <c r="A5" s="11">
        <v>4</v>
      </c>
      <c r="B5" s="32">
        <v>2</v>
      </c>
      <c r="C5" s="32">
        <v>2</v>
      </c>
      <c r="D5" s="32">
        <v>2</v>
      </c>
      <c r="E5" s="32">
        <v>2</v>
      </c>
      <c r="F5" s="32">
        <v>1</v>
      </c>
      <c r="H5" s="27">
        <f t="shared" si="0"/>
        <v>1</v>
      </c>
      <c r="I5" s="14">
        <f t="shared" si="1"/>
        <v>1</v>
      </c>
      <c r="J5" s="14">
        <f t="shared" si="2"/>
        <v>1</v>
      </c>
      <c r="K5" s="14">
        <f t="shared" si="3"/>
        <v>1</v>
      </c>
      <c r="L5" s="28">
        <f t="shared" si="4"/>
        <v>0</v>
      </c>
      <c r="M5" s="14">
        <f t="shared" si="5"/>
        <v>0</v>
      </c>
    </row>
    <row r="6" spans="1:13" x14ac:dyDescent="0.35">
      <c r="A6" s="11">
        <v>5</v>
      </c>
      <c r="B6" s="32">
        <v>2</v>
      </c>
      <c r="C6" s="32">
        <v>1</v>
      </c>
      <c r="D6" s="32">
        <v>2</v>
      </c>
      <c r="E6" s="32">
        <v>1</v>
      </c>
      <c r="F6" s="32">
        <v>1</v>
      </c>
      <c r="H6" s="27">
        <f t="shared" si="0"/>
        <v>1</v>
      </c>
      <c r="I6" s="14">
        <f t="shared" si="1"/>
        <v>0</v>
      </c>
      <c r="J6" s="14">
        <f t="shared" si="2"/>
        <v>1</v>
      </c>
      <c r="K6" s="14">
        <f t="shared" si="3"/>
        <v>0</v>
      </c>
      <c r="L6" s="28">
        <f t="shared" si="4"/>
        <v>0</v>
      </c>
      <c r="M6" s="14">
        <f t="shared" si="5"/>
        <v>0</v>
      </c>
    </row>
    <row r="7" spans="1:13" x14ac:dyDescent="0.35">
      <c r="A7" s="11">
        <v>6</v>
      </c>
      <c r="B7" s="32">
        <v>2</v>
      </c>
      <c r="C7" s="32">
        <v>1</v>
      </c>
      <c r="D7" s="32">
        <v>1</v>
      </c>
      <c r="E7" s="32">
        <v>1</v>
      </c>
      <c r="F7" s="32">
        <v>2</v>
      </c>
      <c r="H7" s="27">
        <f t="shared" si="0"/>
        <v>1</v>
      </c>
      <c r="I7" s="14">
        <f t="shared" si="1"/>
        <v>0</v>
      </c>
      <c r="J7" s="14">
        <f t="shared" si="2"/>
        <v>0</v>
      </c>
      <c r="K7" s="14">
        <f t="shared" si="3"/>
        <v>0</v>
      </c>
      <c r="L7" s="28">
        <f t="shared" si="4"/>
        <v>1</v>
      </c>
      <c r="M7" s="14">
        <f t="shared" si="5"/>
        <v>0</v>
      </c>
    </row>
    <row r="8" spans="1:13" x14ac:dyDescent="0.35">
      <c r="A8" s="11">
        <v>7</v>
      </c>
      <c r="B8" s="32">
        <v>1</v>
      </c>
      <c r="C8" s="32">
        <v>2</v>
      </c>
      <c r="D8" s="32">
        <v>2</v>
      </c>
      <c r="E8" s="32">
        <v>1</v>
      </c>
      <c r="F8" s="32">
        <v>2</v>
      </c>
      <c r="H8" s="27">
        <f t="shared" si="0"/>
        <v>0</v>
      </c>
      <c r="I8" s="14">
        <f t="shared" si="1"/>
        <v>1</v>
      </c>
      <c r="J8" s="14">
        <f t="shared" si="2"/>
        <v>1</v>
      </c>
      <c r="K8" s="14">
        <f t="shared" si="3"/>
        <v>0</v>
      </c>
      <c r="L8" s="28">
        <f t="shared" si="4"/>
        <v>1</v>
      </c>
      <c r="M8" s="14">
        <f t="shared" si="5"/>
        <v>0</v>
      </c>
    </row>
    <row r="9" spans="1:13" x14ac:dyDescent="0.35">
      <c r="A9" s="11">
        <v>8</v>
      </c>
      <c r="B9" s="32">
        <v>1</v>
      </c>
      <c r="C9" s="32">
        <v>1</v>
      </c>
      <c r="D9" s="32">
        <v>1</v>
      </c>
      <c r="E9" s="32">
        <v>1</v>
      </c>
      <c r="F9" s="32">
        <v>1</v>
      </c>
      <c r="H9" s="27">
        <f t="shared" si="0"/>
        <v>0</v>
      </c>
      <c r="I9" s="14">
        <f t="shared" si="1"/>
        <v>0</v>
      </c>
      <c r="J9" s="14">
        <f t="shared" si="2"/>
        <v>0</v>
      </c>
      <c r="K9" s="14">
        <f t="shared" si="3"/>
        <v>0</v>
      </c>
      <c r="L9" s="28">
        <f t="shared" si="4"/>
        <v>0</v>
      </c>
      <c r="M9" s="14">
        <f t="shared" si="5"/>
        <v>0</v>
      </c>
    </row>
    <row r="10" spans="1:13" x14ac:dyDescent="0.35">
      <c r="A10" s="11">
        <v>9</v>
      </c>
      <c r="B10" s="32">
        <v>2</v>
      </c>
      <c r="C10" s="32">
        <v>1</v>
      </c>
      <c r="D10" s="32">
        <v>1</v>
      </c>
      <c r="E10" s="32">
        <v>2</v>
      </c>
      <c r="F10" s="32">
        <v>3</v>
      </c>
      <c r="H10" s="27">
        <f t="shared" si="0"/>
        <v>1</v>
      </c>
      <c r="I10" s="14">
        <f t="shared" si="1"/>
        <v>0</v>
      </c>
      <c r="J10" s="14">
        <f t="shared" si="2"/>
        <v>0</v>
      </c>
      <c r="K10" s="14">
        <f t="shared" si="3"/>
        <v>1</v>
      </c>
      <c r="L10" s="28">
        <f t="shared" si="4"/>
        <v>0</v>
      </c>
      <c r="M10" s="14">
        <f t="shared" si="5"/>
        <v>1</v>
      </c>
    </row>
    <row r="11" spans="1:13" x14ac:dyDescent="0.35">
      <c r="A11" s="11">
        <v>10</v>
      </c>
      <c r="B11" s="32">
        <v>1</v>
      </c>
      <c r="C11" s="32">
        <v>1</v>
      </c>
      <c r="D11" s="32">
        <v>2</v>
      </c>
      <c r="E11" s="32">
        <v>2</v>
      </c>
      <c r="F11" s="32">
        <v>3</v>
      </c>
      <c r="H11" s="27">
        <f t="shared" si="0"/>
        <v>0</v>
      </c>
      <c r="I11" s="14">
        <f t="shared" si="1"/>
        <v>0</v>
      </c>
      <c r="J11" s="14">
        <f t="shared" si="2"/>
        <v>1</v>
      </c>
      <c r="K11" s="14">
        <f t="shared" si="3"/>
        <v>1</v>
      </c>
      <c r="L11" s="28">
        <f t="shared" si="4"/>
        <v>0</v>
      </c>
      <c r="M11" s="14">
        <f t="shared" si="5"/>
        <v>1</v>
      </c>
    </row>
    <row r="12" spans="1:13" x14ac:dyDescent="0.35">
      <c r="A12" s="11">
        <v>11</v>
      </c>
      <c r="B12" s="32">
        <v>1</v>
      </c>
      <c r="C12" s="32">
        <v>2</v>
      </c>
      <c r="D12" s="32">
        <v>1</v>
      </c>
      <c r="E12" s="32">
        <v>1</v>
      </c>
      <c r="F12" s="32">
        <v>3</v>
      </c>
      <c r="H12" s="27">
        <f t="shared" si="0"/>
        <v>0</v>
      </c>
      <c r="I12" s="14">
        <f t="shared" si="1"/>
        <v>1</v>
      </c>
      <c r="J12" s="14">
        <f t="shared" si="2"/>
        <v>0</v>
      </c>
      <c r="K12" s="14">
        <f t="shared" si="3"/>
        <v>0</v>
      </c>
      <c r="L12" s="28">
        <f t="shared" si="4"/>
        <v>0</v>
      </c>
      <c r="M12" s="14">
        <f t="shared" si="5"/>
        <v>1</v>
      </c>
    </row>
    <row r="13" spans="1:13" x14ac:dyDescent="0.35">
      <c r="A13" s="11">
        <v>12</v>
      </c>
      <c r="B13" s="32">
        <v>1</v>
      </c>
      <c r="C13" s="32">
        <v>2</v>
      </c>
      <c r="D13" s="32">
        <v>1</v>
      </c>
      <c r="E13" s="32">
        <v>2</v>
      </c>
      <c r="F13" s="32">
        <v>1</v>
      </c>
      <c r="H13" s="27">
        <f t="shared" si="0"/>
        <v>0</v>
      </c>
      <c r="I13" s="14">
        <f t="shared" si="1"/>
        <v>1</v>
      </c>
      <c r="J13" s="14">
        <f t="shared" si="2"/>
        <v>0</v>
      </c>
      <c r="K13" s="14">
        <f t="shared" si="3"/>
        <v>1</v>
      </c>
      <c r="L13" s="28">
        <f t="shared" si="4"/>
        <v>0</v>
      </c>
      <c r="M13" s="14">
        <f t="shared" si="5"/>
        <v>0</v>
      </c>
    </row>
    <row r="14" spans="1:13" x14ac:dyDescent="0.35">
      <c r="H14" s="20"/>
    </row>
    <row r="15" spans="1:13" x14ac:dyDescent="0.35">
      <c r="H15" s="21"/>
    </row>
    <row r="16" spans="1:13" x14ac:dyDescent="0.35">
      <c r="A16" s="16"/>
      <c r="B16" s="17" t="s">
        <v>211</v>
      </c>
      <c r="C16" s="17" t="s">
        <v>212</v>
      </c>
      <c r="H16" s="118" t="s">
        <v>351</v>
      </c>
      <c r="I16" s="118"/>
      <c r="J16" s="118"/>
      <c r="K16" s="118"/>
      <c r="L16" s="118"/>
      <c r="M16" s="118"/>
    </row>
    <row r="17" spans="1:13" x14ac:dyDescent="0.35">
      <c r="A17" s="122">
        <v>1</v>
      </c>
      <c r="B17" s="122" t="s">
        <v>202</v>
      </c>
      <c r="C17" s="18" t="s">
        <v>207</v>
      </c>
      <c r="H17" s="33" t="s">
        <v>201</v>
      </c>
      <c r="I17" s="33" t="s">
        <v>202</v>
      </c>
      <c r="J17" s="33" t="s">
        <v>248</v>
      </c>
      <c r="K17" s="33" t="s">
        <v>204</v>
      </c>
      <c r="L17" s="33" t="s">
        <v>205</v>
      </c>
      <c r="M17" s="33" t="s">
        <v>206</v>
      </c>
    </row>
    <row r="18" spans="1:13" x14ac:dyDescent="0.35">
      <c r="A18" s="122"/>
      <c r="B18" s="122"/>
      <c r="C18" s="18" t="s">
        <v>213</v>
      </c>
      <c r="H18" s="33">
        <v>1</v>
      </c>
      <c r="I18" s="24">
        <v>1</v>
      </c>
      <c r="J18" s="24">
        <v>1</v>
      </c>
      <c r="K18" s="24">
        <v>1</v>
      </c>
      <c r="L18" s="24">
        <v>1</v>
      </c>
      <c r="M18" s="24">
        <v>2</v>
      </c>
    </row>
    <row r="19" spans="1:13" x14ac:dyDescent="0.35">
      <c r="A19" s="123">
        <v>2</v>
      </c>
      <c r="B19" s="123" t="s">
        <v>214</v>
      </c>
      <c r="C19" s="15" t="s">
        <v>221</v>
      </c>
      <c r="H19" s="33">
        <v>2</v>
      </c>
      <c r="I19" s="24">
        <v>1</v>
      </c>
      <c r="J19" s="24">
        <v>0</v>
      </c>
      <c r="K19" s="24">
        <v>1</v>
      </c>
      <c r="L19" s="24">
        <v>0</v>
      </c>
      <c r="M19" s="24">
        <v>1</v>
      </c>
    </row>
    <row r="20" spans="1:13" x14ac:dyDescent="0.35">
      <c r="A20" s="123"/>
      <c r="B20" s="123"/>
      <c r="C20" s="15" t="s">
        <v>215</v>
      </c>
      <c r="H20" s="33">
        <v>3</v>
      </c>
      <c r="I20" s="24">
        <v>0</v>
      </c>
      <c r="J20" s="24">
        <v>0</v>
      </c>
      <c r="K20" s="24">
        <v>0</v>
      </c>
      <c r="L20" s="24">
        <v>1</v>
      </c>
      <c r="M20" s="24">
        <v>0</v>
      </c>
    </row>
    <row r="21" spans="1:13" x14ac:dyDescent="0.35">
      <c r="A21" s="122">
        <v>3</v>
      </c>
      <c r="B21" s="122" t="s">
        <v>216</v>
      </c>
      <c r="C21" s="18" t="s">
        <v>209</v>
      </c>
      <c r="H21" s="33">
        <v>4</v>
      </c>
      <c r="I21" s="24">
        <v>0</v>
      </c>
      <c r="J21" s="24">
        <v>1</v>
      </c>
      <c r="K21" s="24">
        <v>1</v>
      </c>
      <c r="L21" s="24">
        <v>0</v>
      </c>
      <c r="M21" s="24">
        <v>0</v>
      </c>
    </row>
    <row r="22" spans="1:13" x14ac:dyDescent="0.35">
      <c r="A22" s="122"/>
      <c r="B22" s="122"/>
      <c r="C22" s="18" t="s">
        <v>217</v>
      </c>
      <c r="H22" s="33">
        <v>5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</row>
    <row r="23" spans="1:13" x14ac:dyDescent="0.35">
      <c r="A23" s="123">
        <v>4</v>
      </c>
      <c r="B23" s="123" t="s">
        <v>218</v>
      </c>
      <c r="C23" s="15" t="s">
        <v>210</v>
      </c>
      <c r="H23" s="21"/>
    </row>
    <row r="24" spans="1:13" x14ac:dyDescent="0.35">
      <c r="A24" s="123"/>
      <c r="B24" s="123"/>
      <c r="C24" s="15" t="s">
        <v>219</v>
      </c>
      <c r="H24" s="20"/>
    </row>
    <row r="25" spans="1:13" x14ac:dyDescent="0.35">
      <c r="A25" s="119">
        <v>5</v>
      </c>
      <c r="B25" s="122" t="s">
        <v>220</v>
      </c>
      <c r="C25" s="18">
        <v>199</v>
      </c>
      <c r="H25" s="21"/>
    </row>
    <row r="26" spans="1:13" x14ac:dyDescent="0.35">
      <c r="A26" s="120"/>
      <c r="B26" s="122"/>
      <c r="C26" s="18">
        <v>249</v>
      </c>
      <c r="H26" s="20"/>
    </row>
    <row r="27" spans="1:13" x14ac:dyDescent="0.35">
      <c r="A27" s="121"/>
      <c r="B27" s="122"/>
      <c r="C27" s="18">
        <v>399</v>
      </c>
      <c r="H27" s="21"/>
    </row>
    <row r="28" spans="1:13" x14ac:dyDescent="0.35">
      <c r="H28" s="20"/>
    </row>
  </sheetData>
  <mergeCells count="11">
    <mergeCell ref="H16:M16"/>
    <mergeCell ref="A25:A27"/>
    <mergeCell ref="B17:B18"/>
    <mergeCell ref="B19:B20"/>
    <mergeCell ref="B21:B22"/>
    <mergeCell ref="B23:B24"/>
    <mergeCell ref="B25:B27"/>
    <mergeCell ref="A17:A18"/>
    <mergeCell ref="A19:A20"/>
    <mergeCell ref="A21:A22"/>
    <mergeCell ref="A23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0276-E4B5-4118-A415-8CCAA322C367}">
  <dimension ref="A1:AK61"/>
  <sheetViews>
    <sheetView topLeftCell="V1" zoomScale="106" workbookViewId="0">
      <selection activeCell="X13" sqref="X13"/>
    </sheetView>
  </sheetViews>
  <sheetFormatPr defaultColWidth="27.81640625" defaultRowHeight="16" customHeight="1" x14ac:dyDescent="0.35"/>
  <cols>
    <col min="1" max="1" width="16" bestFit="1" customWidth="1"/>
    <col min="2" max="2" width="21.81640625" bestFit="1" customWidth="1"/>
    <col min="3" max="3" width="12.7265625" bestFit="1" customWidth="1"/>
    <col min="4" max="4" width="14.54296875" bestFit="1" customWidth="1"/>
    <col min="5" max="5" width="8.81640625" customWidth="1"/>
    <col min="6" max="6" width="15.26953125" customWidth="1"/>
    <col min="7" max="7" width="7.54296875" style="8" bestFit="1" customWidth="1"/>
    <col min="8" max="8" width="18.1796875" customWidth="1"/>
    <col min="10" max="10" width="20.54296875" customWidth="1"/>
    <col min="11" max="11" width="17" customWidth="1"/>
    <col min="12" max="12" width="20.81640625" customWidth="1"/>
    <col min="13" max="13" width="20" customWidth="1"/>
    <col min="14" max="14" width="15.54296875" customWidth="1"/>
    <col min="15" max="15" width="20.81640625" customWidth="1"/>
    <col min="16" max="16" width="24.1796875" customWidth="1"/>
  </cols>
  <sheetData>
    <row r="1" spans="1:37" ht="16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13" t="s">
        <v>17</v>
      </c>
      <c r="S1" s="113" t="s">
        <v>18</v>
      </c>
      <c r="T1" s="113" t="s">
        <v>19</v>
      </c>
      <c r="U1" s="113" t="s">
        <v>20</v>
      </c>
      <c r="V1" s="113" t="s">
        <v>21</v>
      </c>
      <c r="W1" s="113" t="s">
        <v>22</v>
      </c>
      <c r="X1" s="113" t="s">
        <v>23</v>
      </c>
      <c r="Y1" s="113" t="s">
        <v>24</v>
      </c>
      <c r="Z1" s="113" t="s">
        <v>25</v>
      </c>
      <c r="AA1" s="113" t="s">
        <v>26</v>
      </c>
      <c r="AB1" s="113" t="s">
        <v>27</v>
      </c>
      <c r="AC1" s="11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spans="1:37" ht="16" customHeight="1" x14ac:dyDescent="0.35">
      <c r="A2" s="1">
        <v>45629.637476851851</v>
      </c>
      <c r="B2" s="1">
        <v>45629.637662037036</v>
      </c>
      <c r="C2" s="2" t="s">
        <v>38</v>
      </c>
      <c r="D2" s="2" t="s">
        <v>39</v>
      </c>
      <c r="E2">
        <v>100</v>
      </c>
      <c r="F2">
        <v>16</v>
      </c>
      <c r="G2" s="7" t="s">
        <v>40</v>
      </c>
      <c r="H2" s="1">
        <v>45629.63767585648</v>
      </c>
      <c r="I2" s="2" t="s">
        <v>41</v>
      </c>
      <c r="J2" s="2" t="s">
        <v>39</v>
      </c>
      <c r="K2" s="2" t="s">
        <v>39</v>
      </c>
      <c r="L2" s="2" t="s">
        <v>39</v>
      </c>
      <c r="M2" s="2" t="s">
        <v>39</v>
      </c>
      <c r="N2">
        <v>53.358600000000003</v>
      </c>
      <c r="O2">
        <v>-6.2483000000000004</v>
      </c>
      <c r="P2" s="2" t="s">
        <v>42</v>
      </c>
      <c r="Q2" s="2" t="s">
        <v>43</v>
      </c>
      <c r="R2" s="114" t="s">
        <v>39</v>
      </c>
      <c r="S2" s="114" t="s">
        <v>39</v>
      </c>
      <c r="T2" s="114" t="s">
        <v>39</v>
      </c>
      <c r="U2" s="114" t="s">
        <v>39</v>
      </c>
      <c r="V2" s="114" t="s">
        <v>39</v>
      </c>
      <c r="W2" s="114" t="s">
        <v>39</v>
      </c>
      <c r="X2" s="114" t="s">
        <v>39</v>
      </c>
      <c r="Y2" s="114" t="s">
        <v>39</v>
      </c>
      <c r="Z2" s="114" t="s">
        <v>39</v>
      </c>
      <c r="AA2" s="114" t="s">
        <v>39</v>
      </c>
      <c r="AB2" s="114" t="s">
        <v>39</v>
      </c>
      <c r="AC2" s="114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</row>
    <row r="3" spans="1:37" ht="16" customHeight="1" x14ac:dyDescent="0.35">
      <c r="A3" s="1">
        <v>45629.678981481484</v>
      </c>
      <c r="B3" s="1">
        <v>45629.682337962964</v>
      </c>
      <c r="C3" s="2" t="s">
        <v>37</v>
      </c>
      <c r="D3" s="2" t="s">
        <v>44</v>
      </c>
      <c r="E3">
        <v>100</v>
      </c>
      <c r="F3">
        <v>334</v>
      </c>
      <c r="G3" s="7" t="s">
        <v>40</v>
      </c>
      <c r="H3" s="1">
        <v>45629.679606053243</v>
      </c>
      <c r="I3" s="2" t="s">
        <v>45</v>
      </c>
      <c r="J3" s="2" t="s">
        <v>39</v>
      </c>
      <c r="K3" s="2" t="s">
        <v>39</v>
      </c>
      <c r="L3" s="2" t="s">
        <v>39</v>
      </c>
      <c r="M3" s="2" t="s">
        <v>39</v>
      </c>
      <c r="N3">
        <v>53.358600000000003</v>
      </c>
      <c r="O3">
        <v>-6.2483000000000004</v>
      </c>
      <c r="P3" s="2" t="s">
        <v>46</v>
      </c>
      <c r="Q3" s="2" t="s">
        <v>43</v>
      </c>
      <c r="R3" s="115">
        <v>5</v>
      </c>
      <c r="S3" s="115">
        <v>3</v>
      </c>
      <c r="T3" s="115">
        <v>2</v>
      </c>
      <c r="U3" s="115">
        <v>6</v>
      </c>
      <c r="V3" s="115">
        <v>5</v>
      </c>
      <c r="W3" s="115">
        <v>3</v>
      </c>
      <c r="X3" s="115">
        <v>4</v>
      </c>
      <c r="Y3" s="115">
        <v>5</v>
      </c>
      <c r="Z3" s="115">
        <v>2</v>
      </c>
      <c r="AA3" s="115">
        <v>3</v>
      </c>
      <c r="AB3" s="115">
        <v>2</v>
      </c>
      <c r="AC3" s="115">
        <v>6</v>
      </c>
      <c r="AD3" s="2" t="s">
        <v>48</v>
      </c>
      <c r="AE3" s="2" t="s">
        <v>49</v>
      </c>
      <c r="AF3" s="2" t="s">
        <v>50</v>
      </c>
      <c r="AG3" s="2" t="s">
        <v>51</v>
      </c>
      <c r="AH3" s="2" t="s">
        <v>52</v>
      </c>
      <c r="AI3" s="2" t="s">
        <v>53</v>
      </c>
      <c r="AJ3" s="2" t="s">
        <v>54</v>
      </c>
      <c r="AK3" s="2" t="s">
        <v>55</v>
      </c>
    </row>
    <row r="4" spans="1:37" ht="16" customHeight="1" x14ac:dyDescent="0.35">
      <c r="A4" s="1">
        <v>45629.680763888886</v>
      </c>
      <c r="B4" s="1">
        <v>45629.683668981481</v>
      </c>
      <c r="C4" s="2" t="s">
        <v>37</v>
      </c>
      <c r="D4" s="2" t="s">
        <v>96</v>
      </c>
      <c r="E4">
        <v>100</v>
      </c>
      <c r="F4">
        <v>249</v>
      </c>
      <c r="G4" s="7" t="s">
        <v>40</v>
      </c>
      <c r="H4" s="1">
        <v>45629.681304537036</v>
      </c>
      <c r="I4" s="2" t="s">
        <v>57</v>
      </c>
      <c r="J4" s="2" t="s">
        <v>39</v>
      </c>
      <c r="K4" s="2" t="s">
        <v>39</v>
      </c>
      <c r="L4" s="2" t="s">
        <v>39</v>
      </c>
      <c r="M4" s="2" t="s">
        <v>39</v>
      </c>
      <c r="N4">
        <v>53.3339</v>
      </c>
      <c r="O4">
        <v>-6.2271000000000001</v>
      </c>
      <c r="P4" s="2" t="s">
        <v>46</v>
      </c>
      <c r="Q4" s="2" t="s">
        <v>43</v>
      </c>
      <c r="R4" s="115">
        <v>5</v>
      </c>
      <c r="S4" s="115">
        <v>2</v>
      </c>
      <c r="T4" s="115">
        <v>3</v>
      </c>
      <c r="U4" s="115">
        <v>6</v>
      </c>
      <c r="V4" s="115">
        <v>4</v>
      </c>
      <c r="W4" s="115">
        <v>2</v>
      </c>
      <c r="X4" s="115">
        <v>4</v>
      </c>
      <c r="Y4" s="115">
        <v>5</v>
      </c>
      <c r="Z4" s="115">
        <v>2</v>
      </c>
      <c r="AA4" s="115">
        <v>3</v>
      </c>
      <c r="AB4" s="115">
        <v>1</v>
      </c>
      <c r="AC4" s="115">
        <v>6</v>
      </c>
      <c r="AD4" s="2" t="s">
        <v>58</v>
      </c>
      <c r="AE4" s="2" t="s">
        <v>59</v>
      </c>
      <c r="AF4" s="2" t="s">
        <v>50</v>
      </c>
      <c r="AG4" s="2" t="s">
        <v>51</v>
      </c>
      <c r="AH4" s="2" t="s">
        <v>52</v>
      </c>
      <c r="AI4" s="2" t="s">
        <v>60</v>
      </c>
      <c r="AJ4" s="2" t="s">
        <v>54</v>
      </c>
      <c r="AK4" s="2" t="s">
        <v>61</v>
      </c>
    </row>
    <row r="5" spans="1:37" ht="16" customHeight="1" x14ac:dyDescent="0.35">
      <c r="A5" s="1">
        <v>45629.693773148145</v>
      </c>
      <c r="B5" s="1">
        <v>45629.696203703701</v>
      </c>
      <c r="C5" s="2" t="s">
        <v>37</v>
      </c>
      <c r="D5" s="2" t="s">
        <v>193</v>
      </c>
      <c r="E5">
        <v>100</v>
      </c>
      <c r="F5">
        <v>209</v>
      </c>
      <c r="G5" s="7" t="s">
        <v>40</v>
      </c>
      <c r="H5" s="1">
        <v>45629.696217372686</v>
      </c>
      <c r="I5" s="2" t="s">
        <v>65</v>
      </c>
      <c r="J5" s="2" t="s">
        <v>39</v>
      </c>
      <c r="K5" s="2" t="s">
        <v>39</v>
      </c>
      <c r="L5" s="2" t="s">
        <v>39</v>
      </c>
      <c r="M5" s="2" t="s">
        <v>39</v>
      </c>
      <c r="N5" s="4">
        <v>51.411371000000003</v>
      </c>
      <c r="O5" s="4">
        <v>-6.3968889999999998</v>
      </c>
      <c r="P5" s="2" t="s">
        <v>46</v>
      </c>
      <c r="Q5" s="2" t="s">
        <v>43</v>
      </c>
      <c r="R5" s="115">
        <v>4</v>
      </c>
      <c r="S5" s="115">
        <v>3</v>
      </c>
      <c r="T5" s="115">
        <v>2</v>
      </c>
      <c r="U5" s="115">
        <v>5</v>
      </c>
      <c r="V5" s="115">
        <v>5</v>
      </c>
      <c r="W5" s="115">
        <v>3</v>
      </c>
      <c r="X5" s="115">
        <v>3</v>
      </c>
      <c r="Y5" s="115">
        <v>4</v>
      </c>
      <c r="Z5" s="115">
        <v>1</v>
      </c>
      <c r="AA5" s="115">
        <v>3</v>
      </c>
      <c r="AB5" s="115">
        <v>1</v>
      </c>
      <c r="AC5" s="115">
        <v>6</v>
      </c>
      <c r="AD5" s="2" t="s">
        <v>48</v>
      </c>
      <c r="AE5" s="2" t="s">
        <v>59</v>
      </c>
      <c r="AF5" s="2" t="s">
        <v>50</v>
      </c>
      <c r="AG5" s="2" t="s">
        <v>66</v>
      </c>
      <c r="AH5" s="2" t="s">
        <v>67</v>
      </c>
      <c r="AI5" s="2" t="s">
        <v>53</v>
      </c>
      <c r="AJ5" s="2" t="s">
        <v>54</v>
      </c>
      <c r="AK5" s="2" t="s">
        <v>68</v>
      </c>
    </row>
    <row r="6" spans="1:37" ht="16" customHeight="1" x14ac:dyDescent="0.35">
      <c r="A6" s="1">
        <v>45629.694571759261</v>
      </c>
      <c r="B6" s="1">
        <v>45629.697847222225</v>
      </c>
      <c r="C6" s="2" t="s">
        <v>37</v>
      </c>
      <c r="D6" s="2" t="s">
        <v>197</v>
      </c>
      <c r="E6">
        <v>100</v>
      </c>
      <c r="F6" s="5">
        <v>283.00000014714897</v>
      </c>
      <c r="G6" s="7" t="s">
        <v>40</v>
      </c>
      <c r="H6" s="1">
        <v>45629.695079907404</v>
      </c>
      <c r="I6" s="2" t="s">
        <v>62</v>
      </c>
      <c r="J6" s="2" t="s">
        <v>39</v>
      </c>
      <c r="K6" s="2" t="s">
        <v>39</v>
      </c>
      <c r="L6" s="2" t="s">
        <v>39</v>
      </c>
      <c r="M6" s="2" t="s">
        <v>39</v>
      </c>
      <c r="N6">
        <v>53.3339</v>
      </c>
      <c r="O6">
        <v>-6.2271000000000001</v>
      </c>
      <c r="P6" s="2" t="s">
        <v>46</v>
      </c>
      <c r="Q6" s="2" t="s">
        <v>43</v>
      </c>
      <c r="R6" s="115">
        <v>5</v>
      </c>
      <c r="S6" s="115">
        <v>2</v>
      </c>
      <c r="T6" s="115">
        <v>3</v>
      </c>
      <c r="U6" s="115">
        <v>6</v>
      </c>
      <c r="V6" s="115">
        <v>5</v>
      </c>
      <c r="W6" s="115">
        <v>3</v>
      </c>
      <c r="X6" s="115">
        <v>3</v>
      </c>
      <c r="Y6" s="115">
        <v>5</v>
      </c>
      <c r="Z6" s="115">
        <v>1</v>
      </c>
      <c r="AA6" s="115">
        <v>2</v>
      </c>
      <c r="AB6" s="115">
        <v>1</v>
      </c>
      <c r="AC6" s="115">
        <v>5</v>
      </c>
      <c r="AD6" s="2" t="s">
        <v>48</v>
      </c>
      <c r="AE6" s="2" t="s">
        <v>49</v>
      </c>
      <c r="AF6" s="2" t="s">
        <v>50</v>
      </c>
      <c r="AG6" s="2" t="s">
        <v>51</v>
      </c>
      <c r="AH6" s="2" t="s">
        <v>52</v>
      </c>
      <c r="AI6" s="2" t="s">
        <v>53</v>
      </c>
      <c r="AJ6" s="2" t="s">
        <v>54</v>
      </c>
      <c r="AK6" s="2" t="s">
        <v>63</v>
      </c>
    </row>
    <row r="7" spans="1:37" ht="16" customHeight="1" x14ac:dyDescent="0.35">
      <c r="A7" s="1">
        <v>45629.70113425926</v>
      </c>
      <c r="B7" s="1">
        <v>45629.704224537039</v>
      </c>
      <c r="C7" s="2" t="s">
        <v>37</v>
      </c>
      <c r="D7" s="2" t="s">
        <v>134</v>
      </c>
      <c r="E7">
        <v>100</v>
      </c>
      <c r="F7">
        <v>267</v>
      </c>
      <c r="G7" s="7" t="s">
        <v>40</v>
      </c>
      <c r="H7" s="1">
        <v>45629.704237013888</v>
      </c>
      <c r="I7" s="2" t="s">
        <v>73</v>
      </c>
      <c r="J7" s="2" t="s">
        <v>39</v>
      </c>
      <c r="K7" s="2" t="s">
        <v>39</v>
      </c>
      <c r="L7" s="2" t="s">
        <v>39</v>
      </c>
      <c r="M7" s="2" t="s">
        <v>39</v>
      </c>
      <c r="N7">
        <v>53.363</v>
      </c>
      <c r="O7">
        <v>-6.2439</v>
      </c>
      <c r="P7" s="2" t="s">
        <v>46</v>
      </c>
      <c r="Q7" s="2" t="s">
        <v>43</v>
      </c>
      <c r="R7" s="115">
        <v>4</v>
      </c>
      <c r="S7" s="115">
        <v>3</v>
      </c>
      <c r="T7" s="115">
        <v>2</v>
      </c>
      <c r="U7" s="115">
        <v>5</v>
      </c>
      <c r="V7" s="115">
        <v>4</v>
      </c>
      <c r="W7" s="115">
        <v>3</v>
      </c>
      <c r="X7" s="115">
        <v>4</v>
      </c>
      <c r="Y7" s="115">
        <v>4</v>
      </c>
      <c r="Z7" s="115">
        <v>2</v>
      </c>
      <c r="AA7" s="115">
        <v>3</v>
      </c>
      <c r="AB7" s="115">
        <v>2</v>
      </c>
      <c r="AC7" s="115">
        <v>6</v>
      </c>
      <c r="AD7" s="2" t="s">
        <v>48</v>
      </c>
      <c r="AE7" s="2" t="s">
        <v>59</v>
      </c>
      <c r="AF7" s="2" t="s">
        <v>50</v>
      </c>
      <c r="AG7" s="2" t="s">
        <v>51</v>
      </c>
      <c r="AH7" s="2" t="s">
        <v>52</v>
      </c>
      <c r="AI7" s="2" t="s">
        <v>53</v>
      </c>
      <c r="AJ7" s="2" t="s">
        <v>54</v>
      </c>
      <c r="AK7" s="2" t="s">
        <v>75</v>
      </c>
    </row>
    <row r="8" spans="1:37" ht="16" customHeight="1" x14ac:dyDescent="0.35">
      <c r="A8" s="1">
        <v>45629.701284722221</v>
      </c>
      <c r="B8" s="1">
        <v>45629.704571759263</v>
      </c>
      <c r="C8" s="2" t="s">
        <v>37</v>
      </c>
      <c r="D8" s="2" t="s">
        <v>190</v>
      </c>
      <c r="E8">
        <v>100</v>
      </c>
      <c r="F8">
        <v>284</v>
      </c>
      <c r="G8" s="7" t="s">
        <v>40</v>
      </c>
      <c r="H8" s="1">
        <v>45629.704583032406</v>
      </c>
      <c r="I8" s="2" t="s">
        <v>76</v>
      </c>
      <c r="J8" s="2" t="s">
        <v>39</v>
      </c>
      <c r="K8" s="2" t="s">
        <v>39</v>
      </c>
      <c r="L8" s="2" t="s">
        <v>39</v>
      </c>
      <c r="M8" s="2" t="s">
        <v>39</v>
      </c>
      <c r="N8">
        <v>53.363</v>
      </c>
      <c r="O8">
        <v>-6.2439</v>
      </c>
      <c r="P8" s="2" t="s">
        <v>46</v>
      </c>
      <c r="Q8" s="2" t="s">
        <v>43</v>
      </c>
      <c r="R8" s="115">
        <v>5</v>
      </c>
      <c r="S8" s="115">
        <v>3</v>
      </c>
      <c r="T8" s="115">
        <v>2</v>
      </c>
      <c r="U8" s="115">
        <v>6</v>
      </c>
      <c r="V8" s="115">
        <v>5</v>
      </c>
      <c r="W8" s="115">
        <v>3</v>
      </c>
      <c r="X8" s="115">
        <v>4</v>
      </c>
      <c r="Y8" s="115">
        <v>5</v>
      </c>
      <c r="Z8" s="115">
        <v>1</v>
      </c>
      <c r="AA8" s="115">
        <v>3</v>
      </c>
      <c r="AB8" s="115">
        <v>2</v>
      </c>
      <c r="AC8" s="115">
        <v>6</v>
      </c>
      <c r="AD8" s="2" t="s">
        <v>58</v>
      </c>
      <c r="AE8" s="2" t="s">
        <v>59</v>
      </c>
      <c r="AF8" s="2" t="s">
        <v>50</v>
      </c>
      <c r="AG8" s="2" t="s">
        <v>66</v>
      </c>
      <c r="AH8" s="2" t="s">
        <v>67</v>
      </c>
      <c r="AI8" s="2" t="s">
        <v>53</v>
      </c>
      <c r="AJ8" s="2" t="s">
        <v>54</v>
      </c>
      <c r="AK8" s="2" t="s">
        <v>77</v>
      </c>
    </row>
    <row r="9" spans="1:37" ht="16" customHeight="1" x14ac:dyDescent="0.35">
      <c r="A9" s="1">
        <v>45629.701886574076</v>
      </c>
      <c r="B9" s="1">
        <v>45629.705821759257</v>
      </c>
      <c r="C9" s="2" t="s">
        <v>37</v>
      </c>
      <c r="D9" s="2" t="s">
        <v>56</v>
      </c>
      <c r="E9">
        <v>100</v>
      </c>
      <c r="F9">
        <v>340</v>
      </c>
      <c r="G9" s="7" t="s">
        <v>40</v>
      </c>
      <c r="H9" s="1">
        <v>45629.705834224536</v>
      </c>
      <c r="I9" s="2" t="s">
        <v>79</v>
      </c>
      <c r="J9" s="2" t="s">
        <v>39</v>
      </c>
      <c r="K9" s="2" t="s">
        <v>39</v>
      </c>
      <c r="L9" s="2" t="s">
        <v>39</v>
      </c>
      <c r="M9" s="2" t="s">
        <v>39</v>
      </c>
      <c r="N9">
        <v>38.797199999999997</v>
      </c>
      <c r="O9">
        <v>-90.776200000000003</v>
      </c>
      <c r="P9" s="2" t="s">
        <v>46</v>
      </c>
      <c r="Q9" s="2" t="s">
        <v>43</v>
      </c>
      <c r="R9" s="115">
        <v>5</v>
      </c>
      <c r="S9" s="115">
        <v>2</v>
      </c>
      <c r="T9" s="115">
        <v>3</v>
      </c>
      <c r="U9" s="115">
        <v>6</v>
      </c>
      <c r="V9" s="115">
        <v>4</v>
      </c>
      <c r="W9" s="115">
        <v>2</v>
      </c>
      <c r="X9" s="115">
        <v>3</v>
      </c>
      <c r="Y9" s="115">
        <v>5</v>
      </c>
      <c r="Z9" s="115">
        <v>2</v>
      </c>
      <c r="AA9" s="115">
        <v>2</v>
      </c>
      <c r="AB9" s="115">
        <v>1</v>
      </c>
      <c r="AC9" s="115">
        <v>5</v>
      </c>
      <c r="AD9" s="2" t="s">
        <v>48</v>
      </c>
      <c r="AE9" s="2" t="s">
        <v>80</v>
      </c>
      <c r="AF9" s="2" t="s">
        <v>81</v>
      </c>
      <c r="AG9" s="2" t="s">
        <v>66</v>
      </c>
      <c r="AH9" s="2" t="s">
        <v>67</v>
      </c>
      <c r="AI9" s="2" t="s">
        <v>53</v>
      </c>
      <c r="AJ9" s="2" t="s">
        <v>54</v>
      </c>
      <c r="AK9" s="2" t="s">
        <v>71</v>
      </c>
    </row>
    <row r="10" spans="1:37" ht="16" customHeight="1" x14ac:dyDescent="0.35">
      <c r="A10" s="1">
        <v>45629.702662037038</v>
      </c>
      <c r="B10" s="1">
        <v>45629.703321759262</v>
      </c>
      <c r="C10" s="2" t="s">
        <v>37</v>
      </c>
      <c r="D10" s="2" t="s">
        <v>69</v>
      </c>
      <c r="E10">
        <v>100</v>
      </c>
      <c r="F10">
        <v>56</v>
      </c>
      <c r="G10" s="7" t="s">
        <v>40</v>
      </c>
      <c r="H10" s="1">
        <v>45629.703332303237</v>
      </c>
      <c r="I10" s="2" t="s">
        <v>70</v>
      </c>
      <c r="J10" s="2" t="s">
        <v>39</v>
      </c>
      <c r="K10" s="2" t="s">
        <v>39</v>
      </c>
      <c r="L10" s="2" t="s">
        <v>39</v>
      </c>
      <c r="M10" s="2" t="s">
        <v>39</v>
      </c>
      <c r="N10" s="4">
        <v>53.513674000000002</v>
      </c>
      <c r="O10" s="4">
        <v>8.7328390000000002</v>
      </c>
      <c r="P10" s="2" t="s">
        <v>46</v>
      </c>
      <c r="Q10" s="2" t="s">
        <v>43</v>
      </c>
      <c r="R10" s="114" t="s">
        <v>39</v>
      </c>
      <c r="S10" s="114" t="s">
        <v>39</v>
      </c>
      <c r="T10" s="114" t="s">
        <v>39</v>
      </c>
      <c r="U10" s="114" t="s">
        <v>39</v>
      </c>
      <c r="V10" s="114" t="s">
        <v>39</v>
      </c>
      <c r="W10" s="114" t="s">
        <v>39</v>
      </c>
      <c r="X10" s="114" t="s">
        <v>39</v>
      </c>
      <c r="Y10" s="114" t="s">
        <v>39</v>
      </c>
      <c r="Z10" s="114" t="s">
        <v>39</v>
      </c>
      <c r="AA10" s="114" t="s">
        <v>39</v>
      </c>
      <c r="AB10" s="114" t="s">
        <v>39</v>
      </c>
      <c r="AC10" s="114" t="s">
        <v>39</v>
      </c>
      <c r="AD10" s="2" t="s">
        <v>48</v>
      </c>
      <c r="AE10" s="2" t="s">
        <v>49</v>
      </c>
      <c r="AF10" s="2" t="s">
        <v>50</v>
      </c>
      <c r="AG10" s="2" t="s">
        <v>51</v>
      </c>
      <c r="AH10" s="2" t="s">
        <v>52</v>
      </c>
      <c r="AI10" s="2" t="s">
        <v>53</v>
      </c>
      <c r="AJ10" s="2" t="s">
        <v>54</v>
      </c>
      <c r="AK10" s="2" t="s">
        <v>71</v>
      </c>
    </row>
    <row r="11" spans="1:37" ht="16" customHeight="1" x14ac:dyDescent="0.35">
      <c r="A11" s="1">
        <v>45629.706805555557</v>
      </c>
      <c r="B11" s="1">
        <v>45629.732604166667</v>
      </c>
      <c r="C11" s="2" t="s">
        <v>37</v>
      </c>
      <c r="D11" s="2" t="s">
        <v>86</v>
      </c>
      <c r="E11">
        <v>100</v>
      </c>
      <c r="F11">
        <v>2229</v>
      </c>
      <c r="G11" s="7" t="s">
        <v>40</v>
      </c>
      <c r="H11" s="1">
        <v>45629.732615636574</v>
      </c>
      <c r="I11" s="2" t="s">
        <v>87</v>
      </c>
      <c r="J11" s="2" t="s">
        <v>39</v>
      </c>
      <c r="K11" s="2"/>
      <c r="L11" s="2" t="s">
        <v>39</v>
      </c>
      <c r="M11" s="2" t="s">
        <v>39</v>
      </c>
      <c r="N11" s="4">
        <v>54.423323000000003</v>
      </c>
      <c r="O11" s="4">
        <v>-9.7341580000000008</v>
      </c>
      <c r="P11" s="2" t="s">
        <v>46</v>
      </c>
      <c r="Q11" s="2" t="s">
        <v>43</v>
      </c>
      <c r="R11" s="111">
        <v>5</v>
      </c>
      <c r="S11" s="111">
        <v>3</v>
      </c>
      <c r="T11" s="111">
        <v>3</v>
      </c>
      <c r="U11" s="111">
        <v>6</v>
      </c>
      <c r="V11" s="111">
        <v>4</v>
      </c>
      <c r="W11" s="111">
        <v>3</v>
      </c>
      <c r="X11" s="111">
        <v>4</v>
      </c>
      <c r="Y11" s="111">
        <v>4</v>
      </c>
      <c r="Z11" s="111">
        <v>1</v>
      </c>
      <c r="AA11" s="111">
        <v>3</v>
      </c>
      <c r="AB11" s="111">
        <v>2</v>
      </c>
      <c r="AC11" s="111">
        <v>6</v>
      </c>
      <c r="AD11" s="2" t="s">
        <v>88</v>
      </c>
      <c r="AE11" s="2" t="s">
        <v>49</v>
      </c>
      <c r="AF11" s="2" t="s">
        <v>50</v>
      </c>
      <c r="AG11" s="2" t="s">
        <v>51</v>
      </c>
      <c r="AH11" s="2" t="s">
        <v>52</v>
      </c>
      <c r="AI11" s="2" t="s">
        <v>53</v>
      </c>
      <c r="AJ11" s="2" t="s">
        <v>89</v>
      </c>
      <c r="AK11" s="2" t="s">
        <v>61</v>
      </c>
    </row>
    <row r="12" spans="1:37" ht="16" customHeight="1" x14ac:dyDescent="0.35">
      <c r="A12" s="1">
        <v>45629.707314814812</v>
      </c>
      <c r="B12" s="1">
        <v>45629.710115740738</v>
      </c>
      <c r="C12" s="2" t="s">
        <v>37</v>
      </c>
      <c r="D12" s="2" t="s">
        <v>82</v>
      </c>
      <c r="E12">
        <v>100</v>
      </c>
      <c r="F12" s="5">
        <v>241.99999999254942</v>
      </c>
      <c r="G12" s="7" t="s">
        <v>40</v>
      </c>
      <c r="H12" s="1">
        <v>45629.709435648147</v>
      </c>
      <c r="I12" s="2" t="s">
        <v>83</v>
      </c>
      <c r="J12" s="2" t="s">
        <v>39</v>
      </c>
      <c r="K12" s="2" t="s">
        <v>39</v>
      </c>
      <c r="L12" s="2" t="s">
        <v>39</v>
      </c>
      <c r="M12" s="2" t="s">
        <v>39</v>
      </c>
      <c r="N12">
        <v>53.3872</v>
      </c>
      <c r="O12">
        <v>-6.5991</v>
      </c>
      <c r="P12" s="2" t="s">
        <v>46</v>
      </c>
      <c r="Q12" s="2" t="s">
        <v>43</v>
      </c>
      <c r="R12" s="111">
        <v>5</v>
      </c>
      <c r="S12" s="111">
        <v>3</v>
      </c>
      <c r="T12" s="111">
        <v>2</v>
      </c>
      <c r="U12" s="111">
        <v>6</v>
      </c>
      <c r="V12" s="111">
        <v>4</v>
      </c>
      <c r="W12" s="111">
        <v>3</v>
      </c>
      <c r="X12" s="111">
        <v>4</v>
      </c>
      <c r="Y12" s="111">
        <v>5</v>
      </c>
      <c r="Z12" s="111">
        <v>2</v>
      </c>
      <c r="AA12" s="111">
        <v>2</v>
      </c>
      <c r="AB12" s="111">
        <v>2</v>
      </c>
      <c r="AC12" s="111">
        <v>6</v>
      </c>
      <c r="AD12" s="2" t="s">
        <v>48</v>
      </c>
      <c r="AE12" s="2" t="s">
        <v>49</v>
      </c>
      <c r="AF12" s="2" t="s">
        <v>50</v>
      </c>
      <c r="AG12" s="2" t="s">
        <v>51</v>
      </c>
      <c r="AH12" s="2" t="s">
        <v>52</v>
      </c>
      <c r="AI12" s="2" t="s">
        <v>84</v>
      </c>
      <c r="AJ12" s="2" t="s">
        <v>54</v>
      </c>
      <c r="AK12" s="2" t="s">
        <v>85</v>
      </c>
    </row>
    <row r="13" spans="1:37" ht="16" customHeight="1" x14ac:dyDescent="0.35">
      <c r="A13" s="1">
        <v>45629.742939814816</v>
      </c>
      <c r="B13" s="1">
        <v>45629.745648148149</v>
      </c>
      <c r="C13" s="2" t="s">
        <v>37</v>
      </c>
      <c r="D13" s="2" t="s">
        <v>147</v>
      </c>
      <c r="E13">
        <v>100</v>
      </c>
      <c r="F13" s="5">
        <v>234.0000000083819</v>
      </c>
      <c r="G13" s="7" t="s">
        <v>40</v>
      </c>
      <c r="H13" s="1">
        <v>45629.743578252317</v>
      </c>
      <c r="I13" s="2" t="s">
        <v>91</v>
      </c>
      <c r="J13" s="2" t="s">
        <v>39</v>
      </c>
      <c r="K13" s="2" t="s">
        <v>39</v>
      </c>
      <c r="L13" s="2" t="s">
        <v>39</v>
      </c>
      <c r="M13" s="2" t="s">
        <v>39</v>
      </c>
      <c r="N13">
        <v>53.3857</v>
      </c>
      <c r="O13">
        <v>-6.2403000000000004</v>
      </c>
      <c r="P13" s="2" t="s">
        <v>46</v>
      </c>
      <c r="Q13" s="2" t="s">
        <v>43</v>
      </c>
      <c r="R13" s="111">
        <v>5</v>
      </c>
      <c r="S13" s="111">
        <v>3</v>
      </c>
      <c r="T13" s="111">
        <v>2</v>
      </c>
      <c r="U13" s="111">
        <v>6</v>
      </c>
      <c r="V13" s="111">
        <v>5</v>
      </c>
      <c r="W13" s="111">
        <v>2</v>
      </c>
      <c r="X13" s="111">
        <v>3</v>
      </c>
      <c r="Y13" s="111">
        <v>5</v>
      </c>
      <c r="Z13" s="111">
        <v>1</v>
      </c>
      <c r="AA13" s="111">
        <v>3</v>
      </c>
      <c r="AB13" s="111">
        <v>1</v>
      </c>
      <c r="AC13" s="111">
        <v>6</v>
      </c>
      <c r="AD13" s="2" t="s">
        <v>58</v>
      </c>
      <c r="AE13" s="2" t="s">
        <v>59</v>
      </c>
      <c r="AF13" s="2" t="s">
        <v>50</v>
      </c>
      <c r="AG13" s="2" t="s">
        <v>51</v>
      </c>
      <c r="AH13" s="2" t="s">
        <v>52</v>
      </c>
      <c r="AI13" s="2" t="s">
        <v>53</v>
      </c>
      <c r="AJ13" s="2" t="s">
        <v>54</v>
      </c>
      <c r="AK13" s="2" t="s">
        <v>85</v>
      </c>
    </row>
    <row r="14" spans="1:37" ht="16" customHeight="1" x14ac:dyDescent="0.35">
      <c r="A14" s="1">
        <v>45629.746041666665</v>
      </c>
      <c r="B14" s="1">
        <v>45629.748622685183</v>
      </c>
      <c r="C14" s="2" t="s">
        <v>37</v>
      </c>
      <c r="D14" s="2" t="s">
        <v>99</v>
      </c>
      <c r="E14">
        <v>100</v>
      </c>
      <c r="F14">
        <v>223</v>
      </c>
      <c r="G14" s="7" t="s">
        <v>40</v>
      </c>
      <c r="H14" s="1">
        <v>45629.748632777781</v>
      </c>
      <c r="I14" s="2" t="s">
        <v>93</v>
      </c>
      <c r="J14" s="2" t="s">
        <v>39</v>
      </c>
      <c r="K14" s="2" t="s">
        <v>39</v>
      </c>
      <c r="L14" s="2" t="s">
        <v>39</v>
      </c>
      <c r="M14" s="2" t="s">
        <v>39</v>
      </c>
      <c r="N14">
        <v>53.329700000000003</v>
      </c>
      <c r="O14">
        <v>-6.2708000000000004</v>
      </c>
      <c r="P14" s="2" t="s">
        <v>46</v>
      </c>
      <c r="Q14" s="2" t="s">
        <v>43</v>
      </c>
      <c r="R14" s="111">
        <v>4</v>
      </c>
      <c r="S14" s="111">
        <v>2</v>
      </c>
      <c r="T14" s="111">
        <v>3</v>
      </c>
      <c r="U14" s="111">
        <v>6</v>
      </c>
      <c r="V14" s="111">
        <v>4</v>
      </c>
      <c r="W14" s="111">
        <v>2</v>
      </c>
      <c r="X14" s="111">
        <v>4</v>
      </c>
      <c r="Y14" s="111">
        <v>5</v>
      </c>
      <c r="Z14" s="111">
        <v>2</v>
      </c>
      <c r="AA14" s="111">
        <v>3</v>
      </c>
      <c r="AB14" s="111">
        <v>1</v>
      </c>
      <c r="AC14" s="111">
        <v>5</v>
      </c>
      <c r="AD14" s="2" t="s">
        <v>94</v>
      </c>
      <c r="AE14" s="2" t="s">
        <v>49</v>
      </c>
      <c r="AF14" s="2" t="s">
        <v>50</v>
      </c>
      <c r="AG14" s="2" t="s">
        <v>51</v>
      </c>
      <c r="AH14" s="2" t="s">
        <v>52</v>
      </c>
      <c r="AI14" s="2" t="s">
        <v>60</v>
      </c>
      <c r="AJ14" s="2" t="s">
        <v>95</v>
      </c>
      <c r="AK14" s="2" t="s">
        <v>68</v>
      </c>
    </row>
    <row r="15" spans="1:37" ht="16" customHeight="1" x14ac:dyDescent="0.35">
      <c r="A15" s="1">
        <v>45629.752592592595</v>
      </c>
      <c r="B15" s="1">
        <v>45629.756886574076</v>
      </c>
      <c r="C15" s="2" t="s">
        <v>37</v>
      </c>
      <c r="D15" s="2" t="s">
        <v>191</v>
      </c>
      <c r="E15">
        <v>100</v>
      </c>
      <c r="F15" s="5">
        <v>370.99999997299165</v>
      </c>
      <c r="G15" s="7" t="s">
        <v>40</v>
      </c>
      <c r="H15" s="1">
        <v>45629.753427187497</v>
      </c>
      <c r="I15" s="2" t="s">
        <v>97</v>
      </c>
      <c r="J15" s="2" t="s">
        <v>39</v>
      </c>
      <c r="K15" s="2" t="s">
        <v>39</v>
      </c>
      <c r="L15" s="2" t="s">
        <v>39</v>
      </c>
      <c r="M15" s="2" t="s">
        <v>39</v>
      </c>
      <c r="N15" s="4">
        <v>54.303933999999998</v>
      </c>
      <c r="O15" s="4">
        <v>-7.0290920000000003</v>
      </c>
      <c r="P15" s="2" t="s">
        <v>46</v>
      </c>
      <c r="Q15" s="2" t="s">
        <v>43</v>
      </c>
      <c r="R15" s="111">
        <v>5</v>
      </c>
      <c r="S15" s="111">
        <v>3</v>
      </c>
      <c r="T15" s="111">
        <v>2</v>
      </c>
      <c r="U15" s="111">
        <v>6</v>
      </c>
      <c r="V15" s="111">
        <v>4</v>
      </c>
      <c r="W15" s="111">
        <v>3</v>
      </c>
      <c r="X15" s="111">
        <v>4</v>
      </c>
      <c r="Y15" s="111">
        <v>4</v>
      </c>
      <c r="Z15" s="111">
        <v>1</v>
      </c>
      <c r="AA15" s="111">
        <v>3</v>
      </c>
      <c r="AB15" s="111">
        <v>1</v>
      </c>
      <c r="AC15" s="111">
        <v>6</v>
      </c>
      <c r="AD15" s="2" t="s">
        <v>94</v>
      </c>
      <c r="AE15" s="2" t="s">
        <v>59</v>
      </c>
      <c r="AF15" s="2" t="s">
        <v>50</v>
      </c>
      <c r="AG15" s="2" t="s">
        <v>51</v>
      </c>
      <c r="AH15" s="2" t="s">
        <v>52</v>
      </c>
      <c r="AI15" s="2" t="s">
        <v>60</v>
      </c>
      <c r="AJ15" s="2" t="s">
        <v>95</v>
      </c>
      <c r="AK15" s="2" t="s">
        <v>98</v>
      </c>
    </row>
    <row r="16" spans="1:37" ht="16" customHeight="1" x14ac:dyDescent="0.35">
      <c r="A16" s="1">
        <v>45629.759976851848</v>
      </c>
      <c r="B16" s="1">
        <v>45629.764976851853</v>
      </c>
      <c r="C16" s="2" t="s">
        <v>37</v>
      </c>
      <c r="D16" s="2" t="s">
        <v>64</v>
      </c>
      <c r="E16">
        <v>100</v>
      </c>
      <c r="F16">
        <v>432</v>
      </c>
      <c r="G16" s="7" t="s">
        <v>40</v>
      </c>
      <c r="H16" s="1">
        <v>45629.764989328702</v>
      </c>
      <c r="I16" s="2" t="s">
        <v>100</v>
      </c>
      <c r="J16" s="2" t="s">
        <v>39</v>
      </c>
      <c r="K16" s="2" t="s">
        <v>39</v>
      </c>
      <c r="L16" s="2" t="s">
        <v>39</v>
      </c>
      <c r="M16" s="2" t="s">
        <v>39</v>
      </c>
      <c r="N16" s="4">
        <v>55.001635999999998</v>
      </c>
      <c r="O16" s="4">
        <v>-7.4450820000000002</v>
      </c>
      <c r="P16" s="2" t="s">
        <v>46</v>
      </c>
      <c r="Q16" s="2" t="s">
        <v>43</v>
      </c>
      <c r="R16" s="111">
        <v>4</v>
      </c>
      <c r="S16" s="111">
        <v>2</v>
      </c>
      <c r="T16" s="111">
        <v>3</v>
      </c>
      <c r="U16" s="111">
        <v>5</v>
      </c>
      <c r="V16" s="111">
        <v>4</v>
      </c>
      <c r="W16" s="111">
        <v>3</v>
      </c>
      <c r="X16" s="111">
        <v>3</v>
      </c>
      <c r="Y16" s="111">
        <v>4</v>
      </c>
      <c r="Z16" s="111">
        <v>1</v>
      </c>
      <c r="AA16" s="111">
        <v>2</v>
      </c>
      <c r="AB16" s="111">
        <v>2</v>
      </c>
      <c r="AC16" s="111">
        <v>6</v>
      </c>
      <c r="AD16" s="2" t="s">
        <v>88</v>
      </c>
      <c r="AE16" s="2" t="s">
        <v>49</v>
      </c>
      <c r="AF16" s="2" t="s">
        <v>50</v>
      </c>
      <c r="AG16" s="2" t="s">
        <v>51</v>
      </c>
      <c r="AH16" s="2" t="s">
        <v>52</v>
      </c>
      <c r="AI16" s="2" t="s">
        <v>53</v>
      </c>
      <c r="AJ16" s="2" t="s">
        <v>89</v>
      </c>
      <c r="AK16" s="2" t="s">
        <v>71</v>
      </c>
    </row>
    <row r="17" spans="1:37" ht="16" customHeight="1" x14ac:dyDescent="0.35">
      <c r="A17" s="1">
        <v>45629.776030092595</v>
      </c>
      <c r="B17" s="1">
        <v>45629.777395833335</v>
      </c>
      <c r="C17" s="2" t="s">
        <v>37</v>
      </c>
      <c r="D17" s="2" t="s">
        <v>198</v>
      </c>
      <c r="E17">
        <v>100</v>
      </c>
      <c r="F17">
        <v>118</v>
      </c>
      <c r="G17" s="7" t="s">
        <v>40</v>
      </c>
      <c r="H17" s="1">
        <v>45629.77741545139</v>
      </c>
      <c r="I17" s="2" t="s">
        <v>102</v>
      </c>
      <c r="J17" s="2" t="s">
        <v>39</v>
      </c>
      <c r="K17" s="2" t="s">
        <v>39</v>
      </c>
      <c r="L17" s="2" t="s">
        <v>39</v>
      </c>
      <c r="M17" s="2" t="s">
        <v>39</v>
      </c>
      <c r="N17">
        <v>12.8996</v>
      </c>
      <c r="O17">
        <v>80.2209</v>
      </c>
      <c r="P17" s="2" t="s">
        <v>46</v>
      </c>
      <c r="Q17" s="2" t="s">
        <v>43</v>
      </c>
      <c r="R17" s="111">
        <v>5</v>
      </c>
      <c r="S17" s="111">
        <v>2</v>
      </c>
      <c r="T17" s="111">
        <v>3</v>
      </c>
      <c r="U17" s="111">
        <v>6</v>
      </c>
      <c r="V17" s="111">
        <v>4</v>
      </c>
      <c r="W17" s="111">
        <v>3</v>
      </c>
      <c r="X17" s="111">
        <v>4</v>
      </c>
      <c r="Y17" s="111">
        <v>5</v>
      </c>
      <c r="Z17" s="111">
        <v>2</v>
      </c>
      <c r="AA17" s="111">
        <v>3</v>
      </c>
      <c r="AB17" s="111">
        <v>1</v>
      </c>
      <c r="AC17" s="111">
        <v>5</v>
      </c>
      <c r="AD17" s="2" t="s">
        <v>88</v>
      </c>
      <c r="AE17" s="2" t="s">
        <v>59</v>
      </c>
      <c r="AF17" s="2" t="s">
        <v>50</v>
      </c>
      <c r="AG17" s="2" t="s">
        <v>66</v>
      </c>
      <c r="AH17" s="2" t="s">
        <v>52</v>
      </c>
      <c r="AI17" s="2" t="s">
        <v>60</v>
      </c>
      <c r="AJ17" s="2" t="s">
        <v>95</v>
      </c>
      <c r="AK17" s="2" t="s">
        <v>68</v>
      </c>
    </row>
    <row r="18" spans="1:37" ht="16" customHeight="1" x14ac:dyDescent="0.35">
      <c r="A18" s="1">
        <v>45629.822789351849</v>
      </c>
      <c r="B18" s="1">
        <v>45629.824166666665</v>
      </c>
      <c r="C18" s="2" t="s">
        <v>37</v>
      </c>
      <c r="D18" s="2" t="s">
        <v>103</v>
      </c>
      <c r="E18">
        <v>100</v>
      </c>
      <c r="F18">
        <v>119</v>
      </c>
      <c r="G18" s="7" t="s">
        <v>40</v>
      </c>
      <c r="H18" s="1">
        <v>45629.824183842589</v>
      </c>
      <c r="I18" s="2" t="s">
        <v>104</v>
      </c>
      <c r="J18" s="2" t="s">
        <v>39</v>
      </c>
      <c r="K18" s="2" t="s">
        <v>39</v>
      </c>
      <c r="L18" s="2" t="s">
        <v>39</v>
      </c>
      <c r="M18" s="2" t="s">
        <v>39</v>
      </c>
      <c r="N18">
        <v>53.35</v>
      </c>
      <c r="O18">
        <v>-7.0593000000000004</v>
      </c>
      <c r="P18" s="2" t="s">
        <v>46</v>
      </c>
      <c r="Q18" s="2" t="s">
        <v>43</v>
      </c>
      <c r="R18" s="111">
        <v>4</v>
      </c>
      <c r="S18" s="111">
        <v>3</v>
      </c>
      <c r="T18" s="111">
        <v>2</v>
      </c>
      <c r="U18" s="111">
        <v>5</v>
      </c>
      <c r="V18" s="111">
        <v>4</v>
      </c>
      <c r="W18" s="111">
        <v>3</v>
      </c>
      <c r="X18" s="111">
        <v>3</v>
      </c>
      <c r="Y18" s="111">
        <v>4</v>
      </c>
      <c r="Z18" s="111">
        <v>2</v>
      </c>
      <c r="AA18" s="111">
        <v>3</v>
      </c>
      <c r="AB18" s="111">
        <v>2</v>
      </c>
      <c r="AC18" s="111">
        <v>6</v>
      </c>
      <c r="AD18" s="2" t="s">
        <v>58</v>
      </c>
      <c r="AE18" s="2" t="s">
        <v>49</v>
      </c>
      <c r="AF18" s="2" t="s">
        <v>50</v>
      </c>
      <c r="AG18" s="2" t="s">
        <v>51</v>
      </c>
      <c r="AH18" s="2" t="s">
        <v>52</v>
      </c>
      <c r="AI18" s="2" t="s">
        <v>60</v>
      </c>
      <c r="AJ18" s="2" t="s">
        <v>89</v>
      </c>
      <c r="AK18" s="2" t="s">
        <v>71</v>
      </c>
    </row>
    <row r="19" spans="1:37" ht="16" customHeight="1" x14ac:dyDescent="0.35">
      <c r="A19" s="1">
        <v>45629.850891203707</v>
      </c>
      <c r="B19" s="1">
        <v>45629.853564814817</v>
      </c>
      <c r="C19" s="2" t="s">
        <v>37</v>
      </c>
      <c r="D19" s="2" t="s">
        <v>136</v>
      </c>
      <c r="E19">
        <v>100</v>
      </c>
      <c r="F19">
        <v>230</v>
      </c>
      <c r="G19" s="7" t="s">
        <v>40</v>
      </c>
      <c r="H19" s="1">
        <v>45629.853572106484</v>
      </c>
      <c r="I19" s="2" t="s">
        <v>106</v>
      </c>
      <c r="J19" s="2" t="s">
        <v>39</v>
      </c>
      <c r="K19" s="2" t="s">
        <v>39</v>
      </c>
      <c r="L19" s="2" t="s">
        <v>39</v>
      </c>
      <c r="M19" s="2" t="s">
        <v>39</v>
      </c>
      <c r="N19" s="4">
        <v>53.411659999999998</v>
      </c>
      <c r="O19" s="4">
        <v>-6.9872139999999998</v>
      </c>
      <c r="P19" s="2" t="s">
        <v>46</v>
      </c>
      <c r="Q19" s="2" t="s">
        <v>43</v>
      </c>
      <c r="R19" s="111">
        <v>5</v>
      </c>
      <c r="S19" s="111">
        <v>3</v>
      </c>
      <c r="T19" s="111">
        <v>3</v>
      </c>
      <c r="U19" s="111">
        <v>6</v>
      </c>
      <c r="V19" s="111">
        <v>5</v>
      </c>
      <c r="W19" s="111">
        <v>2</v>
      </c>
      <c r="X19" s="111">
        <v>3</v>
      </c>
      <c r="Y19" s="111">
        <v>5</v>
      </c>
      <c r="Z19" s="111">
        <v>2</v>
      </c>
      <c r="AA19" s="111">
        <v>3</v>
      </c>
      <c r="AB19" s="111">
        <v>1</v>
      </c>
      <c r="AC19" s="111">
        <v>6</v>
      </c>
      <c r="AD19" s="2" t="s">
        <v>94</v>
      </c>
      <c r="AE19" s="2" t="s">
        <v>59</v>
      </c>
      <c r="AF19" s="2" t="s">
        <v>50</v>
      </c>
      <c r="AG19" s="2" t="s">
        <v>51</v>
      </c>
      <c r="AH19" s="2" t="s">
        <v>52</v>
      </c>
      <c r="AI19" s="2" t="s">
        <v>53</v>
      </c>
      <c r="AJ19" s="2" t="s">
        <v>89</v>
      </c>
      <c r="AK19" s="2" t="s">
        <v>71</v>
      </c>
    </row>
    <row r="20" spans="1:37" ht="16" customHeight="1" x14ac:dyDescent="0.35">
      <c r="A20" s="1">
        <v>45629.868831018517</v>
      </c>
      <c r="B20" s="1">
        <v>45629.871203703704</v>
      </c>
      <c r="C20" s="2" t="s">
        <v>37</v>
      </c>
      <c r="D20" s="2" t="s">
        <v>107</v>
      </c>
      <c r="E20">
        <v>100</v>
      </c>
      <c r="F20" s="5">
        <v>205.000000144355</v>
      </c>
      <c r="G20" s="7" t="s">
        <v>40</v>
      </c>
      <c r="H20" s="1">
        <v>45629.869558796294</v>
      </c>
      <c r="I20" s="2" t="s">
        <v>108</v>
      </c>
      <c r="J20" s="2" t="s">
        <v>39</v>
      </c>
      <c r="K20" s="2" t="s">
        <v>39</v>
      </c>
      <c r="L20" s="2" t="s">
        <v>39</v>
      </c>
      <c r="M20" s="2" t="s">
        <v>39</v>
      </c>
      <c r="N20">
        <v>53.454000000000001</v>
      </c>
      <c r="O20">
        <v>-6.1585000000000001</v>
      </c>
      <c r="P20" s="2" t="s">
        <v>46</v>
      </c>
      <c r="Q20" s="2" t="s">
        <v>43</v>
      </c>
      <c r="R20" s="111">
        <v>4</v>
      </c>
      <c r="S20" s="111">
        <v>2</v>
      </c>
      <c r="T20" s="111">
        <v>3</v>
      </c>
      <c r="U20" s="111">
        <v>5</v>
      </c>
      <c r="V20" s="111">
        <v>4</v>
      </c>
      <c r="W20" s="111">
        <v>3</v>
      </c>
      <c r="X20" s="111">
        <v>4</v>
      </c>
      <c r="Y20" s="111">
        <v>4</v>
      </c>
      <c r="Z20" s="111">
        <v>2</v>
      </c>
      <c r="AA20" s="111">
        <v>2</v>
      </c>
      <c r="AB20" s="111">
        <v>2</v>
      </c>
      <c r="AC20" s="111">
        <v>6</v>
      </c>
      <c r="AD20" s="2" t="s">
        <v>88</v>
      </c>
      <c r="AE20" s="2" t="s">
        <v>49</v>
      </c>
      <c r="AF20" s="2" t="s">
        <v>50</v>
      </c>
      <c r="AG20" s="2" t="s">
        <v>51</v>
      </c>
      <c r="AH20" s="2" t="s">
        <v>52</v>
      </c>
      <c r="AI20" s="2" t="s">
        <v>53</v>
      </c>
      <c r="AJ20" s="2" t="s">
        <v>54</v>
      </c>
      <c r="AK20" s="2" t="s">
        <v>68</v>
      </c>
    </row>
    <row r="21" spans="1:37" ht="16" customHeight="1" x14ac:dyDescent="0.35">
      <c r="A21" s="1">
        <v>45629.873078703706</v>
      </c>
      <c r="B21" s="1">
        <v>45629.875844907408</v>
      </c>
      <c r="C21" s="2" t="s">
        <v>37</v>
      </c>
      <c r="D21" s="2" t="s">
        <v>180</v>
      </c>
      <c r="E21">
        <v>100</v>
      </c>
      <c r="F21" s="5">
        <v>238.99999991990626</v>
      </c>
      <c r="G21" s="7" t="s">
        <v>40</v>
      </c>
      <c r="H21" s="1">
        <v>45629.874462037034</v>
      </c>
      <c r="I21" s="2" t="s">
        <v>110</v>
      </c>
      <c r="J21" s="2" t="s">
        <v>39</v>
      </c>
      <c r="K21" s="2" t="s">
        <v>39</v>
      </c>
      <c r="L21" s="2" t="s">
        <v>39</v>
      </c>
      <c r="M21" s="2" t="s">
        <v>39</v>
      </c>
      <c r="N21">
        <v>53.3857</v>
      </c>
      <c r="O21">
        <v>-6.2403000000000004</v>
      </c>
      <c r="P21" s="2" t="s">
        <v>46</v>
      </c>
      <c r="Q21" s="2" t="s">
        <v>43</v>
      </c>
      <c r="R21" s="111">
        <v>5</v>
      </c>
      <c r="S21" s="111">
        <v>3</v>
      </c>
      <c r="T21" s="111">
        <v>3</v>
      </c>
      <c r="U21" s="111">
        <v>6</v>
      </c>
      <c r="V21" s="111">
        <v>5</v>
      </c>
      <c r="W21" s="111">
        <v>3</v>
      </c>
      <c r="X21" s="111">
        <v>4</v>
      </c>
      <c r="Y21" s="111">
        <v>5</v>
      </c>
      <c r="Z21" s="111">
        <v>1</v>
      </c>
      <c r="AA21" s="111">
        <v>3</v>
      </c>
      <c r="AB21" s="111">
        <v>2</v>
      </c>
      <c r="AC21" s="111">
        <v>6</v>
      </c>
      <c r="AD21" s="2" t="s">
        <v>88</v>
      </c>
      <c r="AE21" s="2" t="s">
        <v>59</v>
      </c>
      <c r="AF21" s="2" t="s">
        <v>50</v>
      </c>
      <c r="AG21" s="2" t="s">
        <v>51</v>
      </c>
      <c r="AH21" s="2" t="s">
        <v>52</v>
      </c>
      <c r="AI21" s="2" t="s">
        <v>53</v>
      </c>
      <c r="AJ21" s="2" t="s">
        <v>54</v>
      </c>
      <c r="AK21" s="2" t="s">
        <v>61</v>
      </c>
    </row>
    <row r="22" spans="1:37" ht="16" customHeight="1" x14ac:dyDescent="0.35">
      <c r="A22" s="1">
        <v>45629.896863425929</v>
      </c>
      <c r="B22" s="1">
        <v>45629.898530092592</v>
      </c>
      <c r="C22" s="2" t="s">
        <v>37</v>
      </c>
      <c r="D22" s="2" t="s">
        <v>174</v>
      </c>
      <c r="E22">
        <v>100</v>
      </c>
      <c r="F22">
        <v>143</v>
      </c>
      <c r="G22" s="7" t="s">
        <v>40</v>
      </c>
      <c r="H22" s="1">
        <v>45629.898540219911</v>
      </c>
      <c r="I22" s="2" t="s">
        <v>112</v>
      </c>
      <c r="J22" s="2" t="s">
        <v>39</v>
      </c>
      <c r="K22" s="2" t="s">
        <v>39</v>
      </c>
      <c r="L22" s="2" t="s">
        <v>39</v>
      </c>
      <c r="M22" s="2" t="s">
        <v>39</v>
      </c>
      <c r="N22">
        <v>53.554200000000002</v>
      </c>
      <c r="O22">
        <v>-6.7877999999999998</v>
      </c>
      <c r="P22" s="2" t="s">
        <v>46</v>
      </c>
      <c r="Q22" s="2" t="s">
        <v>43</v>
      </c>
      <c r="R22" s="111">
        <v>4</v>
      </c>
      <c r="S22" s="111">
        <v>2</v>
      </c>
      <c r="T22" s="111">
        <v>3</v>
      </c>
      <c r="U22" s="111">
        <v>6</v>
      </c>
      <c r="V22" s="111">
        <v>4</v>
      </c>
      <c r="W22" s="111">
        <v>3</v>
      </c>
      <c r="X22" s="111">
        <v>3</v>
      </c>
      <c r="Y22" s="111">
        <v>4</v>
      </c>
      <c r="Z22" s="111">
        <v>1</v>
      </c>
      <c r="AA22" s="111">
        <v>2</v>
      </c>
      <c r="AB22" s="111">
        <v>1</v>
      </c>
      <c r="AC22" s="111">
        <v>5</v>
      </c>
      <c r="AD22" s="2" t="s">
        <v>94</v>
      </c>
      <c r="AE22" s="2" t="s">
        <v>59</v>
      </c>
      <c r="AF22" s="2" t="s">
        <v>50</v>
      </c>
      <c r="AG22" s="2" t="s">
        <v>51</v>
      </c>
      <c r="AH22" s="2" t="s">
        <v>52</v>
      </c>
      <c r="AI22" s="2" t="s">
        <v>60</v>
      </c>
      <c r="AJ22" s="2" t="s">
        <v>89</v>
      </c>
      <c r="AK22" s="2" t="s">
        <v>71</v>
      </c>
    </row>
    <row r="23" spans="1:37" ht="16" customHeight="1" x14ac:dyDescent="0.35">
      <c r="A23" s="1">
        <v>45629.93509259259</v>
      </c>
      <c r="B23" s="1">
        <v>45629.937418981484</v>
      </c>
      <c r="C23" s="2" t="s">
        <v>37</v>
      </c>
      <c r="D23" s="2" t="s">
        <v>196</v>
      </c>
      <c r="E23">
        <v>100</v>
      </c>
      <c r="F23" s="5">
        <v>201.00000046659261</v>
      </c>
      <c r="G23" s="7" t="s">
        <v>40</v>
      </c>
      <c r="H23" s="1">
        <v>45629.936320729168</v>
      </c>
      <c r="I23" s="2" t="s">
        <v>114</v>
      </c>
      <c r="J23" s="2" t="s">
        <v>39</v>
      </c>
      <c r="K23" s="2" t="s">
        <v>39</v>
      </c>
      <c r="L23" s="2" t="s">
        <v>39</v>
      </c>
      <c r="M23" s="2" t="s">
        <v>39</v>
      </c>
      <c r="N23">
        <v>53.359699999999997</v>
      </c>
      <c r="O23">
        <v>-6.4496000000000002</v>
      </c>
      <c r="P23" s="2" t="s">
        <v>46</v>
      </c>
      <c r="Q23" s="2" t="s">
        <v>43</v>
      </c>
      <c r="R23" s="111">
        <v>5</v>
      </c>
      <c r="S23" s="111">
        <v>3</v>
      </c>
      <c r="T23" s="111">
        <v>3</v>
      </c>
      <c r="U23" s="111">
        <v>6</v>
      </c>
      <c r="V23" s="111">
        <v>5</v>
      </c>
      <c r="W23" s="111">
        <v>3</v>
      </c>
      <c r="X23" s="111">
        <v>4</v>
      </c>
      <c r="Y23" s="111">
        <v>4</v>
      </c>
      <c r="Z23" s="111">
        <v>2</v>
      </c>
      <c r="AA23" s="111">
        <v>3</v>
      </c>
      <c r="AB23" s="111">
        <v>1</v>
      </c>
      <c r="AC23" s="111">
        <v>6</v>
      </c>
      <c r="AD23" s="2" t="s">
        <v>58</v>
      </c>
      <c r="AE23" s="2" t="s">
        <v>49</v>
      </c>
      <c r="AF23" s="2" t="s">
        <v>50</v>
      </c>
      <c r="AG23" s="2" t="s">
        <v>51</v>
      </c>
      <c r="AH23" s="2" t="s">
        <v>52</v>
      </c>
      <c r="AI23" s="2" t="s">
        <v>60</v>
      </c>
      <c r="AJ23" s="2" t="s">
        <v>89</v>
      </c>
      <c r="AK23" s="2" t="s">
        <v>68</v>
      </c>
    </row>
    <row r="24" spans="1:37" ht="16" customHeight="1" x14ac:dyDescent="0.35">
      <c r="A24" s="1">
        <v>45630.0078125</v>
      </c>
      <c r="B24" s="1">
        <v>45630.008900462963</v>
      </c>
      <c r="C24" s="2" t="s">
        <v>37</v>
      </c>
      <c r="D24" s="2" t="s">
        <v>194</v>
      </c>
      <c r="E24">
        <v>100</v>
      </c>
      <c r="F24">
        <v>94</v>
      </c>
      <c r="G24" s="7" t="s">
        <v>40</v>
      </c>
      <c r="H24" s="1">
        <v>45630.008917673615</v>
      </c>
      <c r="I24" s="2" t="s">
        <v>116</v>
      </c>
      <c r="J24" s="2" t="s">
        <v>39</v>
      </c>
      <c r="K24" s="2" t="s">
        <v>39</v>
      </c>
      <c r="L24" s="2" t="s">
        <v>39</v>
      </c>
      <c r="M24" s="2" t="s">
        <v>39</v>
      </c>
      <c r="N24">
        <v>9.9184999999999999</v>
      </c>
      <c r="O24">
        <v>76.255799999999994</v>
      </c>
      <c r="P24" s="2" t="s">
        <v>46</v>
      </c>
      <c r="Q24" s="2" t="s">
        <v>43</v>
      </c>
      <c r="R24" s="114" t="s">
        <v>39</v>
      </c>
      <c r="S24" s="114" t="s">
        <v>39</v>
      </c>
      <c r="T24" s="114" t="s">
        <v>39</v>
      </c>
      <c r="U24" s="114" t="s">
        <v>39</v>
      </c>
      <c r="V24" s="114" t="s">
        <v>39</v>
      </c>
      <c r="W24" s="114" t="s">
        <v>39</v>
      </c>
      <c r="X24" s="114" t="s">
        <v>39</v>
      </c>
      <c r="Y24" s="114" t="s">
        <v>39</v>
      </c>
      <c r="Z24" s="114" t="s">
        <v>39</v>
      </c>
      <c r="AA24" s="114" t="s">
        <v>39</v>
      </c>
      <c r="AB24" s="114" t="s">
        <v>39</v>
      </c>
      <c r="AC24" s="114" t="s">
        <v>39</v>
      </c>
      <c r="AD24" s="2" t="s">
        <v>48</v>
      </c>
      <c r="AE24" s="2" t="s">
        <v>59</v>
      </c>
      <c r="AF24" s="2" t="s">
        <v>50</v>
      </c>
      <c r="AG24" s="2" t="s">
        <v>66</v>
      </c>
      <c r="AH24" s="2" t="s">
        <v>52</v>
      </c>
      <c r="AI24" s="2" t="s">
        <v>53</v>
      </c>
      <c r="AJ24" s="2" t="s">
        <v>95</v>
      </c>
      <c r="AK24" s="2" t="s">
        <v>68</v>
      </c>
    </row>
    <row r="25" spans="1:37" ht="16" customHeight="1" x14ac:dyDescent="0.35">
      <c r="A25" s="1">
        <v>45630.037430555552</v>
      </c>
      <c r="B25" s="1">
        <v>45630.042453703703</v>
      </c>
      <c r="C25" s="2" t="s">
        <v>37</v>
      </c>
      <c r="D25" s="2" t="s">
        <v>117</v>
      </c>
      <c r="E25">
        <v>100</v>
      </c>
      <c r="F25">
        <v>433</v>
      </c>
      <c r="G25" s="7" t="s">
        <v>40</v>
      </c>
      <c r="H25" s="1">
        <v>45630.042474490743</v>
      </c>
      <c r="I25" s="2" t="s">
        <v>118</v>
      </c>
      <c r="J25" s="2" t="s">
        <v>39</v>
      </c>
      <c r="K25" s="2" t="s">
        <v>39</v>
      </c>
      <c r="L25" s="2" t="s">
        <v>39</v>
      </c>
      <c r="M25" s="2" t="s">
        <v>39</v>
      </c>
      <c r="N25">
        <v>12.8996</v>
      </c>
      <c r="O25">
        <v>80.2209</v>
      </c>
      <c r="P25" s="2" t="s">
        <v>46</v>
      </c>
      <c r="Q25" s="2" t="s">
        <v>43</v>
      </c>
      <c r="R25" s="111">
        <v>6</v>
      </c>
      <c r="S25" s="111">
        <v>3</v>
      </c>
      <c r="T25" s="111">
        <v>4</v>
      </c>
      <c r="U25" s="111">
        <v>7</v>
      </c>
      <c r="V25" s="111">
        <v>5</v>
      </c>
      <c r="W25" s="111">
        <v>3</v>
      </c>
      <c r="X25" s="111">
        <v>4</v>
      </c>
      <c r="Y25" s="111">
        <v>5</v>
      </c>
      <c r="Z25" s="111">
        <v>2</v>
      </c>
      <c r="AA25" s="111">
        <v>4</v>
      </c>
      <c r="AB25" s="111">
        <v>3</v>
      </c>
      <c r="AC25" s="111">
        <v>6</v>
      </c>
      <c r="AD25" s="2" t="s">
        <v>48</v>
      </c>
      <c r="AE25" s="2" t="s">
        <v>49</v>
      </c>
      <c r="AF25" s="2" t="s">
        <v>50</v>
      </c>
      <c r="AG25" s="2" t="s">
        <v>66</v>
      </c>
      <c r="AH25" s="2" t="s">
        <v>67</v>
      </c>
      <c r="AI25" s="2" t="s">
        <v>53</v>
      </c>
      <c r="AJ25" s="2" t="s">
        <v>54</v>
      </c>
      <c r="AK25" s="2" t="s">
        <v>98</v>
      </c>
    </row>
    <row r="26" spans="1:37" ht="16" customHeight="1" x14ac:dyDescent="0.35">
      <c r="A26" s="1">
        <v>45630.074490740742</v>
      </c>
      <c r="B26" s="1">
        <v>45630.077511574076</v>
      </c>
      <c r="C26" s="2" t="s">
        <v>37</v>
      </c>
      <c r="D26" s="2" t="s">
        <v>119</v>
      </c>
      <c r="E26">
        <v>100</v>
      </c>
      <c r="F26" s="5">
        <v>261.00000003352761</v>
      </c>
      <c r="G26" s="7" t="s">
        <v>40</v>
      </c>
      <c r="H26" s="1">
        <v>45630.076836006941</v>
      </c>
      <c r="I26" s="2" t="s">
        <v>120</v>
      </c>
      <c r="J26" s="2" t="s">
        <v>39</v>
      </c>
      <c r="K26" s="2" t="s">
        <v>39</v>
      </c>
      <c r="L26" s="2" t="s">
        <v>39</v>
      </c>
      <c r="M26" s="2" t="s">
        <v>39</v>
      </c>
      <c r="N26">
        <v>12.9634</v>
      </c>
      <c r="O26">
        <v>77.585499999999996</v>
      </c>
      <c r="P26" s="2" t="s">
        <v>46</v>
      </c>
      <c r="Q26" s="2" t="s">
        <v>43</v>
      </c>
      <c r="R26" s="111">
        <v>5</v>
      </c>
      <c r="S26" s="111">
        <v>3</v>
      </c>
      <c r="T26" s="111">
        <v>4</v>
      </c>
      <c r="U26" s="111">
        <v>6</v>
      </c>
      <c r="V26" s="111">
        <v>5</v>
      </c>
      <c r="W26" s="111">
        <v>3</v>
      </c>
      <c r="X26" s="111">
        <v>4</v>
      </c>
      <c r="Y26" s="111">
        <v>4</v>
      </c>
      <c r="Z26" s="111">
        <v>3</v>
      </c>
      <c r="AA26" s="111">
        <v>4</v>
      </c>
      <c r="AB26" s="111">
        <v>2</v>
      </c>
      <c r="AC26" s="111">
        <v>7</v>
      </c>
      <c r="AD26" s="2" t="s">
        <v>48</v>
      </c>
      <c r="AE26" s="2" t="s">
        <v>80</v>
      </c>
      <c r="AF26" s="2" t="s">
        <v>50</v>
      </c>
      <c r="AG26" s="2" t="s">
        <v>66</v>
      </c>
      <c r="AH26" s="2" t="s">
        <v>67</v>
      </c>
      <c r="AI26" s="2" t="s">
        <v>53</v>
      </c>
      <c r="AJ26" s="2" t="s">
        <v>54</v>
      </c>
      <c r="AK26" s="2" t="s">
        <v>75</v>
      </c>
    </row>
    <row r="27" spans="1:37" ht="16" customHeight="1" x14ac:dyDescent="0.35">
      <c r="A27" s="1">
        <v>45630.151898148149</v>
      </c>
      <c r="B27" s="1">
        <v>45630.154062499998</v>
      </c>
      <c r="C27" s="2" t="s">
        <v>37</v>
      </c>
      <c r="D27" s="2" t="s">
        <v>123</v>
      </c>
      <c r="E27">
        <v>100</v>
      </c>
      <c r="F27">
        <v>187</v>
      </c>
      <c r="G27" s="7" t="s">
        <v>40</v>
      </c>
      <c r="H27" s="1">
        <v>45630.154078854168</v>
      </c>
      <c r="I27" s="2" t="s">
        <v>122</v>
      </c>
      <c r="J27" s="2" t="s">
        <v>39</v>
      </c>
      <c r="K27" s="2" t="s">
        <v>39</v>
      </c>
      <c r="L27" s="2" t="s">
        <v>39</v>
      </c>
      <c r="M27" s="2" t="s">
        <v>39</v>
      </c>
      <c r="N27">
        <v>9.9184999999999999</v>
      </c>
      <c r="O27">
        <v>76.255799999999994</v>
      </c>
      <c r="P27" s="2" t="s">
        <v>46</v>
      </c>
      <c r="Q27" s="2" t="s">
        <v>43</v>
      </c>
      <c r="R27" s="111">
        <v>6</v>
      </c>
      <c r="S27" s="111">
        <v>4</v>
      </c>
      <c r="T27" s="111">
        <v>3</v>
      </c>
      <c r="U27" s="111">
        <v>7</v>
      </c>
      <c r="V27" s="111">
        <v>5</v>
      </c>
      <c r="W27" s="111">
        <v>3</v>
      </c>
      <c r="X27" s="111">
        <v>5</v>
      </c>
      <c r="Y27" s="111">
        <v>5</v>
      </c>
      <c r="Z27" s="111">
        <v>3</v>
      </c>
      <c r="AA27" s="111">
        <v>4</v>
      </c>
      <c r="AB27" s="111">
        <v>2</v>
      </c>
      <c r="AC27" s="111">
        <v>6</v>
      </c>
      <c r="AD27" s="2" t="s">
        <v>48</v>
      </c>
      <c r="AE27" s="2" t="s">
        <v>59</v>
      </c>
      <c r="AF27" s="2" t="s">
        <v>50</v>
      </c>
      <c r="AG27" s="2" t="s">
        <v>66</v>
      </c>
      <c r="AH27" s="2" t="s">
        <v>52</v>
      </c>
      <c r="AI27" s="2" t="s">
        <v>53</v>
      </c>
      <c r="AJ27" s="2" t="s">
        <v>54</v>
      </c>
      <c r="AK27" s="2" t="s">
        <v>71</v>
      </c>
    </row>
    <row r="28" spans="1:37" ht="16" customHeight="1" x14ac:dyDescent="0.35">
      <c r="A28" s="1">
        <v>45630.192442129628</v>
      </c>
      <c r="B28" s="1">
        <v>45630.193182870367</v>
      </c>
      <c r="C28" s="2" t="s">
        <v>37</v>
      </c>
      <c r="D28" s="2" t="s">
        <v>178</v>
      </c>
      <c r="E28">
        <v>100</v>
      </c>
      <c r="F28" s="5">
        <v>63.99999987334013</v>
      </c>
      <c r="G28" s="7" t="s">
        <v>40</v>
      </c>
      <c r="H28" s="1">
        <v>45630.193198425928</v>
      </c>
      <c r="I28" s="2" t="s">
        <v>124</v>
      </c>
      <c r="J28" s="2" t="s">
        <v>39</v>
      </c>
      <c r="K28" s="2" t="s">
        <v>39</v>
      </c>
      <c r="L28" s="2" t="s">
        <v>39</v>
      </c>
      <c r="M28" s="2" t="s">
        <v>39</v>
      </c>
      <c r="N28">
        <v>18.616099999999999</v>
      </c>
      <c r="O28">
        <v>73.7286</v>
      </c>
      <c r="P28" s="2" t="s">
        <v>46</v>
      </c>
      <c r="Q28" s="2" t="s">
        <v>43</v>
      </c>
      <c r="R28" s="114" t="s">
        <v>74</v>
      </c>
      <c r="S28" s="114" t="s">
        <v>39</v>
      </c>
      <c r="T28" s="114" t="s">
        <v>39</v>
      </c>
      <c r="U28" s="114" t="s">
        <v>39</v>
      </c>
      <c r="V28" s="114" t="s">
        <v>39</v>
      </c>
      <c r="W28" s="114" t="s">
        <v>39</v>
      </c>
      <c r="X28" s="114" t="s">
        <v>39</v>
      </c>
      <c r="Y28" s="114" t="s">
        <v>39</v>
      </c>
      <c r="Z28" s="114" t="s">
        <v>39</v>
      </c>
      <c r="AA28" s="114" t="s">
        <v>39</v>
      </c>
      <c r="AB28" s="114" t="s">
        <v>39</v>
      </c>
      <c r="AC28" s="114" t="s">
        <v>39</v>
      </c>
      <c r="AD28" s="2" t="s">
        <v>88</v>
      </c>
      <c r="AE28" s="2" t="s">
        <v>49</v>
      </c>
      <c r="AF28" s="2" t="s">
        <v>50</v>
      </c>
      <c r="AG28" s="2" t="s">
        <v>66</v>
      </c>
      <c r="AH28" s="2" t="s">
        <v>67</v>
      </c>
      <c r="AI28" s="2" t="s">
        <v>60</v>
      </c>
      <c r="AJ28" s="2" t="s">
        <v>89</v>
      </c>
      <c r="AK28" s="2" t="s">
        <v>68</v>
      </c>
    </row>
    <row r="29" spans="1:37" ht="16" customHeight="1" x14ac:dyDescent="0.35">
      <c r="A29" s="1">
        <v>45630.337152777778</v>
      </c>
      <c r="B29" s="1">
        <v>45630.339722222219</v>
      </c>
      <c r="C29" s="2" t="s">
        <v>37</v>
      </c>
      <c r="D29" s="2" t="s">
        <v>125</v>
      </c>
      <c r="E29">
        <v>100</v>
      </c>
      <c r="F29" s="5">
        <v>221.99999971780926</v>
      </c>
      <c r="G29" s="7" t="s">
        <v>40</v>
      </c>
      <c r="H29" s="1">
        <v>45630.338347523146</v>
      </c>
      <c r="I29" s="2" t="s">
        <v>126</v>
      </c>
      <c r="J29" s="2" t="s">
        <v>39</v>
      </c>
      <c r="K29" s="2" t="s">
        <v>39</v>
      </c>
      <c r="L29" s="2" t="s">
        <v>39</v>
      </c>
      <c r="M29" s="2" t="s">
        <v>39</v>
      </c>
      <c r="N29">
        <v>56.949599999999997</v>
      </c>
      <c r="O29">
        <v>24.097799999999999</v>
      </c>
      <c r="P29" s="2" t="s">
        <v>46</v>
      </c>
      <c r="Q29" s="2" t="s">
        <v>43</v>
      </c>
      <c r="R29" s="111">
        <v>5</v>
      </c>
      <c r="S29" s="111">
        <v>3</v>
      </c>
      <c r="T29" s="111">
        <v>3</v>
      </c>
      <c r="U29" s="111">
        <v>6</v>
      </c>
      <c r="V29" s="111">
        <v>4</v>
      </c>
      <c r="W29" s="111">
        <v>3</v>
      </c>
      <c r="X29" s="111">
        <v>4</v>
      </c>
      <c r="Y29" s="111">
        <v>5</v>
      </c>
      <c r="Z29" s="111">
        <v>2</v>
      </c>
      <c r="AA29" s="111">
        <v>4</v>
      </c>
      <c r="AB29" s="111">
        <v>3</v>
      </c>
      <c r="AC29" s="111">
        <v>6</v>
      </c>
      <c r="AD29" s="2" t="s">
        <v>88</v>
      </c>
      <c r="AE29" s="2" t="s">
        <v>59</v>
      </c>
      <c r="AF29" s="2" t="s">
        <v>50</v>
      </c>
      <c r="AG29" s="2" t="s">
        <v>127</v>
      </c>
      <c r="AH29" s="2" t="s">
        <v>52</v>
      </c>
      <c r="AI29" s="2" t="s">
        <v>53</v>
      </c>
      <c r="AJ29" s="2" t="s">
        <v>89</v>
      </c>
      <c r="AK29" s="2" t="s">
        <v>128</v>
      </c>
    </row>
    <row r="30" spans="1:37" ht="16" customHeight="1" x14ac:dyDescent="0.35">
      <c r="A30" s="1">
        <v>45630.530671296299</v>
      </c>
      <c r="B30" s="1">
        <v>45630.530856481484</v>
      </c>
      <c r="C30" s="2" t="s">
        <v>37</v>
      </c>
      <c r="D30" s="2" t="s">
        <v>145</v>
      </c>
      <c r="E30">
        <v>100</v>
      </c>
      <c r="F30">
        <v>15</v>
      </c>
      <c r="G30" s="7" t="s">
        <v>40</v>
      </c>
      <c r="H30" s="1">
        <v>45630.530870219911</v>
      </c>
      <c r="I30" s="2" t="s">
        <v>130</v>
      </c>
      <c r="J30" s="2" t="s">
        <v>39</v>
      </c>
      <c r="K30" s="2" t="s">
        <v>39</v>
      </c>
      <c r="L30" s="2" t="s">
        <v>39</v>
      </c>
      <c r="M30" s="2" t="s">
        <v>39</v>
      </c>
      <c r="N30" s="4">
        <v>54.961196000000001</v>
      </c>
      <c r="O30" s="4">
        <v>-7.2791610000000002</v>
      </c>
      <c r="P30" s="2" t="s">
        <v>46</v>
      </c>
      <c r="Q30" s="2" t="s">
        <v>43</v>
      </c>
      <c r="R30" s="114" t="s">
        <v>39</v>
      </c>
      <c r="S30" s="114" t="s">
        <v>39</v>
      </c>
      <c r="T30" s="114" t="s">
        <v>39</v>
      </c>
      <c r="U30" s="114" t="s">
        <v>39</v>
      </c>
      <c r="V30" s="114" t="s">
        <v>39</v>
      </c>
      <c r="W30" s="114" t="s">
        <v>39</v>
      </c>
      <c r="X30" s="114" t="s">
        <v>39</v>
      </c>
      <c r="Y30" s="114" t="s">
        <v>39</v>
      </c>
      <c r="Z30" s="114" t="s">
        <v>39</v>
      </c>
      <c r="AA30" s="114" t="s">
        <v>39</v>
      </c>
      <c r="AB30" s="114" t="s">
        <v>39</v>
      </c>
      <c r="AC30" s="114" t="s">
        <v>39</v>
      </c>
      <c r="AD30" s="2" t="s">
        <v>39</v>
      </c>
      <c r="AE30" s="2" t="s">
        <v>39</v>
      </c>
      <c r="AF30" s="2" t="s">
        <v>39</v>
      </c>
      <c r="AG30" s="2" t="s">
        <v>39</v>
      </c>
      <c r="AH30" s="2" t="s">
        <v>39</v>
      </c>
      <c r="AI30" s="2" t="s">
        <v>39</v>
      </c>
      <c r="AJ30" s="2" t="s">
        <v>39</v>
      </c>
      <c r="AK30" s="2" t="s">
        <v>39</v>
      </c>
    </row>
    <row r="31" spans="1:37" ht="16" customHeight="1" x14ac:dyDescent="0.35">
      <c r="A31" s="1">
        <v>45630.530960648146</v>
      </c>
      <c r="B31" s="1">
        <v>45630.533148148148</v>
      </c>
      <c r="C31" s="2" t="s">
        <v>37</v>
      </c>
      <c r="D31" s="2" t="s">
        <v>129</v>
      </c>
      <c r="E31">
        <v>100</v>
      </c>
      <c r="F31" s="5">
        <v>189.00000017601997</v>
      </c>
      <c r="G31" s="7" t="s">
        <v>40</v>
      </c>
      <c r="H31" s="1">
        <v>45630.531773449075</v>
      </c>
      <c r="I31" s="2" t="s">
        <v>131</v>
      </c>
      <c r="J31" s="2" t="s">
        <v>39</v>
      </c>
      <c r="K31" s="2" t="s">
        <v>39</v>
      </c>
      <c r="L31" s="2" t="s">
        <v>39</v>
      </c>
      <c r="M31" s="2" t="s">
        <v>39</v>
      </c>
      <c r="N31">
        <v>52.907200000000003</v>
      </c>
      <c r="O31">
        <v>-6.8436000000000003</v>
      </c>
      <c r="P31" s="2" t="s">
        <v>46</v>
      </c>
      <c r="Q31" s="2" t="s">
        <v>43</v>
      </c>
      <c r="R31" s="111">
        <v>6</v>
      </c>
      <c r="S31" s="111">
        <v>3</v>
      </c>
      <c r="T31" s="111">
        <v>4</v>
      </c>
      <c r="U31" s="111">
        <v>7</v>
      </c>
      <c r="V31" s="111">
        <v>5</v>
      </c>
      <c r="W31" s="111">
        <v>3</v>
      </c>
      <c r="X31" s="111">
        <v>4</v>
      </c>
      <c r="Y31" s="111">
        <v>5</v>
      </c>
      <c r="Z31" s="111">
        <v>2</v>
      </c>
      <c r="AA31" s="111">
        <v>4</v>
      </c>
      <c r="AB31" s="111">
        <v>2</v>
      </c>
      <c r="AC31" s="111">
        <v>6</v>
      </c>
      <c r="AD31" s="2" t="s">
        <v>88</v>
      </c>
      <c r="AE31" s="2" t="s">
        <v>49</v>
      </c>
      <c r="AF31" s="2" t="s">
        <v>81</v>
      </c>
      <c r="AG31" s="2" t="s">
        <v>51</v>
      </c>
      <c r="AH31" s="2" t="s">
        <v>52</v>
      </c>
      <c r="AI31" s="2" t="s">
        <v>60</v>
      </c>
      <c r="AJ31" s="2" t="s">
        <v>54</v>
      </c>
      <c r="AK31" s="2" t="s">
        <v>68</v>
      </c>
    </row>
    <row r="32" spans="1:37" ht="16" customHeight="1" x14ac:dyDescent="0.35">
      <c r="A32" s="1">
        <v>45630.544108796297</v>
      </c>
      <c r="B32" s="1">
        <v>45630.547337962962</v>
      </c>
      <c r="C32" s="2" t="s">
        <v>37</v>
      </c>
      <c r="D32" s="2" t="s">
        <v>132</v>
      </c>
      <c r="E32">
        <v>100</v>
      </c>
      <c r="F32">
        <v>279</v>
      </c>
      <c r="G32" s="7" t="s">
        <v>40</v>
      </c>
      <c r="H32" s="1">
        <v>45630.54735508102</v>
      </c>
      <c r="I32" s="2" t="s">
        <v>133</v>
      </c>
      <c r="J32" s="2" t="s">
        <v>39</v>
      </c>
      <c r="K32" s="2" t="s">
        <v>39</v>
      </c>
      <c r="L32" s="2" t="s">
        <v>39</v>
      </c>
      <c r="M32" s="2" t="s">
        <v>39</v>
      </c>
      <c r="N32">
        <v>53.372100000000003</v>
      </c>
      <c r="O32">
        <v>-6.2953999999999999</v>
      </c>
      <c r="P32" s="2" t="s">
        <v>46</v>
      </c>
      <c r="Q32" s="2" t="s">
        <v>43</v>
      </c>
      <c r="R32" s="111">
        <v>5</v>
      </c>
      <c r="S32" s="111">
        <v>4</v>
      </c>
      <c r="T32" s="111">
        <v>3</v>
      </c>
      <c r="U32" s="111">
        <v>6</v>
      </c>
      <c r="V32" s="111">
        <v>5</v>
      </c>
      <c r="W32" s="111">
        <v>3</v>
      </c>
      <c r="X32" s="111">
        <v>5</v>
      </c>
      <c r="Y32" s="111">
        <v>5</v>
      </c>
      <c r="Z32" s="111">
        <v>2</v>
      </c>
      <c r="AA32" s="111">
        <v>4</v>
      </c>
      <c r="AB32" s="111">
        <v>3</v>
      </c>
      <c r="AC32" s="111">
        <v>7</v>
      </c>
      <c r="AD32" s="2" t="s">
        <v>94</v>
      </c>
      <c r="AE32" s="2" t="s">
        <v>59</v>
      </c>
      <c r="AF32" s="2" t="s">
        <v>81</v>
      </c>
      <c r="AG32" s="2" t="s">
        <v>51</v>
      </c>
      <c r="AH32" s="2" t="s">
        <v>52</v>
      </c>
      <c r="AI32" s="2" t="s">
        <v>60</v>
      </c>
      <c r="AJ32" s="2" t="s">
        <v>95</v>
      </c>
      <c r="AK32" s="2" t="s">
        <v>68</v>
      </c>
    </row>
    <row r="33" spans="1:37" ht="16" customHeight="1" x14ac:dyDescent="0.35">
      <c r="A33" s="1">
        <v>45630.699178240742</v>
      </c>
      <c r="B33" s="1">
        <v>45630.790023148147</v>
      </c>
      <c r="C33" s="2" t="s">
        <v>37</v>
      </c>
      <c r="D33" s="2" t="s">
        <v>111</v>
      </c>
      <c r="E33">
        <v>100</v>
      </c>
      <c r="F33">
        <v>7849</v>
      </c>
      <c r="G33" s="7" t="s">
        <v>40</v>
      </c>
      <c r="H33" s="1">
        <v>45630.790039965279</v>
      </c>
      <c r="I33" s="2" t="s">
        <v>137</v>
      </c>
      <c r="J33" s="2" t="s">
        <v>39</v>
      </c>
      <c r="K33" s="2" t="s">
        <v>39</v>
      </c>
      <c r="L33" s="2" t="s">
        <v>39</v>
      </c>
      <c r="M33" s="2" t="s">
        <v>39</v>
      </c>
      <c r="N33" s="4">
        <v>52.639856000000002</v>
      </c>
      <c r="O33">
        <v>-9.2045999999999992</v>
      </c>
      <c r="P33" s="2" t="s">
        <v>46</v>
      </c>
      <c r="Q33" s="2" t="s">
        <v>43</v>
      </c>
      <c r="R33" s="114" t="s">
        <v>47</v>
      </c>
      <c r="S33" s="114" t="s">
        <v>39</v>
      </c>
      <c r="T33" s="114" t="s">
        <v>39</v>
      </c>
      <c r="U33" s="114" t="s">
        <v>39</v>
      </c>
      <c r="V33" s="114" t="s">
        <v>39</v>
      </c>
      <c r="W33" s="114" t="s">
        <v>39</v>
      </c>
      <c r="X33" s="114" t="s">
        <v>39</v>
      </c>
      <c r="Y33" s="114" t="s">
        <v>39</v>
      </c>
      <c r="Z33" s="114" t="s">
        <v>39</v>
      </c>
      <c r="AA33" s="114" t="s">
        <v>39</v>
      </c>
      <c r="AB33" s="114" t="s">
        <v>39</v>
      </c>
      <c r="AC33" s="114" t="s">
        <v>39</v>
      </c>
      <c r="AD33" s="2" t="s">
        <v>39</v>
      </c>
      <c r="AE33" s="2" t="s">
        <v>39</v>
      </c>
      <c r="AF33" s="2" t="s">
        <v>39</v>
      </c>
      <c r="AG33" s="2" t="s">
        <v>39</v>
      </c>
      <c r="AH33" s="2" t="s">
        <v>39</v>
      </c>
      <c r="AI33" s="2" t="s">
        <v>39</v>
      </c>
      <c r="AJ33" s="2" t="s">
        <v>39</v>
      </c>
      <c r="AK33" s="2" t="s">
        <v>39</v>
      </c>
    </row>
    <row r="34" spans="1:37" ht="16" customHeight="1" x14ac:dyDescent="0.35">
      <c r="A34" s="1">
        <v>45630.734560185185</v>
      </c>
      <c r="B34" s="1">
        <v>45630.735196759262</v>
      </c>
      <c r="C34" s="2" t="s">
        <v>37</v>
      </c>
      <c r="D34" s="2" t="s">
        <v>92</v>
      </c>
      <c r="E34">
        <v>100</v>
      </c>
      <c r="F34">
        <v>55</v>
      </c>
      <c r="G34" s="7" t="s">
        <v>40</v>
      </c>
      <c r="H34" s="1">
        <v>45630.735206956022</v>
      </c>
      <c r="I34" s="2" t="s">
        <v>135</v>
      </c>
      <c r="J34" s="2" t="s">
        <v>39</v>
      </c>
      <c r="K34" s="2" t="s">
        <v>39</v>
      </c>
      <c r="L34" s="2" t="s">
        <v>39</v>
      </c>
      <c r="M34" s="2" t="s">
        <v>39</v>
      </c>
      <c r="N34">
        <v>12.9634</v>
      </c>
      <c r="O34">
        <v>77.585499999999996</v>
      </c>
      <c r="P34" s="2" t="s">
        <v>46</v>
      </c>
      <c r="Q34" s="2" t="s">
        <v>43</v>
      </c>
      <c r="R34" s="114" t="s">
        <v>39</v>
      </c>
      <c r="S34" s="114" t="s">
        <v>39</v>
      </c>
      <c r="T34" s="114" t="s">
        <v>39</v>
      </c>
      <c r="U34" s="114" t="s">
        <v>39</v>
      </c>
      <c r="V34" s="114" t="s">
        <v>39</v>
      </c>
      <c r="W34" s="114" t="s">
        <v>39</v>
      </c>
      <c r="X34" s="114" t="s">
        <v>39</v>
      </c>
      <c r="Y34" s="114" t="s">
        <v>39</v>
      </c>
      <c r="Z34" s="114" t="s">
        <v>39</v>
      </c>
      <c r="AA34" s="114" t="s">
        <v>39</v>
      </c>
      <c r="AB34" s="114" t="s">
        <v>39</v>
      </c>
      <c r="AC34" s="114" t="s">
        <v>39</v>
      </c>
      <c r="AD34" s="2" t="s">
        <v>39</v>
      </c>
      <c r="AE34" s="2" t="s">
        <v>39</v>
      </c>
      <c r="AF34" s="2" t="s">
        <v>39</v>
      </c>
      <c r="AG34" s="2" t="s">
        <v>39</v>
      </c>
      <c r="AH34" s="2" t="s">
        <v>39</v>
      </c>
      <c r="AI34" s="2" t="s">
        <v>39</v>
      </c>
      <c r="AJ34" s="2" t="s">
        <v>39</v>
      </c>
      <c r="AK34" s="2" t="s">
        <v>39</v>
      </c>
    </row>
    <row r="35" spans="1:37" ht="16" customHeight="1" x14ac:dyDescent="0.35">
      <c r="A35" s="1">
        <v>45631.44090277778</v>
      </c>
      <c r="B35" s="1">
        <v>45631.45416666667</v>
      </c>
      <c r="C35" s="2" t="s">
        <v>37</v>
      </c>
      <c r="D35" s="2" t="s">
        <v>105</v>
      </c>
      <c r="E35">
        <v>100</v>
      </c>
      <c r="F35">
        <v>1146</v>
      </c>
      <c r="G35" s="7" t="s">
        <v>40</v>
      </c>
      <c r="H35" s="1">
        <v>45631.454179155095</v>
      </c>
      <c r="I35" s="2" t="s">
        <v>141</v>
      </c>
      <c r="J35" s="2" t="s">
        <v>39</v>
      </c>
      <c r="K35" s="2" t="s">
        <v>39</v>
      </c>
      <c r="L35" s="2" t="s">
        <v>39</v>
      </c>
      <c r="M35" s="2" t="s">
        <v>39</v>
      </c>
      <c r="N35" s="4">
        <v>52.207127999999997</v>
      </c>
      <c r="O35" s="4">
        <v>-9.0841209999999997</v>
      </c>
      <c r="P35" s="2" t="s">
        <v>46</v>
      </c>
      <c r="Q35" s="2" t="s">
        <v>43</v>
      </c>
      <c r="R35" s="112">
        <v>6</v>
      </c>
      <c r="S35" s="112">
        <v>3</v>
      </c>
      <c r="T35" s="112">
        <v>4</v>
      </c>
      <c r="U35" s="112">
        <v>7</v>
      </c>
      <c r="V35" s="112">
        <v>5</v>
      </c>
      <c r="W35" s="112">
        <v>3</v>
      </c>
      <c r="X35" s="112">
        <v>4</v>
      </c>
      <c r="Y35" s="112">
        <v>5</v>
      </c>
      <c r="Z35" s="112">
        <v>2</v>
      </c>
      <c r="AA35" s="112">
        <v>4</v>
      </c>
      <c r="AB35" s="112">
        <v>2</v>
      </c>
      <c r="AC35" s="112">
        <v>6</v>
      </c>
      <c r="AD35" s="2" t="s">
        <v>88</v>
      </c>
      <c r="AE35" s="2" t="s">
        <v>49</v>
      </c>
      <c r="AF35" s="2" t="s">
        <v>50</v>
      </c>
      <c r="AG35" s="2" t="s">
        <v>51</v>
      </c>
      <c r="AH35" s="2" t="s">
        <v>52</v>
      </c>
      <c r="AI35" s="2" t="s">
        <v>60</v>
      </c>
      <c r="AJ35" s="2" t="s">
        <v>54</v>
      </c>
      <c r="AK35" s="2" t="s">
        <v>68</v>
      </c>
    </row>
    <row r="36" spans="1:37" ht="16" customHeight="1" x14ac:dyDescent="0.35">
      <c r="A36" s="1">
        <v>45631.447939814818</v>
      </c>
      <c r="B36" s="1">
        <v>45631.450173611112</v>
      </c>
      <c r="C36" s="2" t="s">
        <v>37</v>
      </c>
      <c r="D36" s="2" t="s">
        <v>138</v>
      </c>
      <c r="E36">
        <v>100</v>
      </c>
      <c r="F36">
        <v>192</v>
      </c>
      <c r="G36" s="7" t="s">
        <v>40</v>
      </c>
      <c r="H36" s="1">
        <v>45631.45018162037</v>
      </c>
      <c r="I36" s="2" t="s">
        <v>139</v>
      </c>
      <c r="J36" s="2" t="s">
        <v>39</v>
      </c>
      <c r="K36" s="2" t="s">
        <v>39</v>
      </c>
      <c r="L36" s="2" t="s">
        <v>39</v>
      </c>
      <c r="M36" s="2" t="s">
        <v>39</v>
      </c>
      <c r="N36">
        <v>53.3872</v>
      </c>
      <c r="O36">
        <v>-6.5991</v>
      </c>
      <c r="P36" s="2" t="s">
        <v>46</v>
      </c>
      <c r="Q36" s="2" t="s">
        <v>43</v>
      </c>
      <c r="R36" s="112">
        <v>5</v>
      </c>
      <c r="S36" s="112">
        <v>3</v>
      </c>
      <c r="T36" s="112">
        <v>4</v>
      </c>
      <c r="U36" s="112">
        <v>6</v>
      </c>
      <c r="V36" s="112">
        <v>4</v>
      </c>
      <c r="W36" s="112">
        <v>3</v>
      </c>
      <c r="X36" s="112">
        <v>4</v>
      </c>
      <c r="Y36" s="112">
        <v>5</v>
      </c>
      <c r="Z36" s="112">
        <v>3</v>
      </c>
      <c r="AA36" s="112">
        <v>4</v>
      </c>
      <c r="AB36" s="112">
        <v>3</v>
      </c>
      <c r="AC36" s="112">
        <v>7</v>
      </c>
      <c r="AD36" s="2" t="s">
        <v>88</v>
      </c>
      <c r="AE36" s="2" t="s">
        <v>59</v>
      </c>
      <c r="AF36" s="2" t="s">
        <v>81</v>
      </c>
      <c r="AG36" s="2" t="s">
        <v>51</v>
      </c>
      <c r="AH36" s="2" t="s">
        <v>52</v>
      </c>
      <c r="AI36" s="2" t="s">
        <v>53</v>
      </c>
      <c r="AJ36" s="2" t="s">
        <v>89</v>
      </c>
      <c r="AK36" s="2" t="s">
        <v>98</v>
      </c>
    </row>
    <row r="37" spans="1:37" ht="16" customHeight="1" x14ac:dyDescent="0.35">
      <c r="A37" s="1">
        <v>45631.572604166664</v>
      </c>
      <c r="B37" s="1">
        <v>45631.577210648145</v>
      </c>
      <c r="C37" s="2" t="s">
        <v>37</v>
      </c>
      <c r="D37" s="2" t="s">
        <v>142</v>
      </c>
      <c r="E37">
        <v>100</v>
      </c>
      <c r="F37" s="5">
        <v>397.99999999813735</v>
      </c>
      <c r="G37" s="7" t="s">
        <v>40</v>
      </c>
      <c r="H37" s="1">
        <v>45631.573748460651</v>
      </c>
      <c r="I37" s="2" t="s">
        <v>143</v>
      </c>
      <c r="J37" s="2" t="s">
        <v>39</v>
      </c>
      <c r="K37" s="2" t="s">
        <v>39</v>
      </c>
      <c r="L37" s="2" t="s">
        <v>39</v>
      </c>
      <c r="M37" s="2" t="s">
        <v>39</v>
      </c>
      <c r="N37" s="4">
        <v>54.357138999999997</v>
      </c>
      <c r="O37" s="4">
        <v>-9.8950139999999998</v>
      </c>
      <c r="P37" s="2" t="s">
        <v>46</v>
      </c>
      <c r="Q37" s="2" t="s">
        <v>43</v>
      </c>
      <c r="R37" s="112">
        <v>6</v>
      </c>
      <c r="S37" s="112">
        <v>3</v>
      </c>
      <c r="T37" s="112">
        <v>3</v>
      </c>
      <c r="U37" s="112">
        <v>7</v>
      </c>
      <c r="V37" s="112">
        <v>5</v>
      </c>
      <c r="W37" s="112">
        <v>3</v>
      </c>
      <c r="X37" s="112">
        <v>4</v>
      </c>
      <c r="Y37" s="112">
        <v>5</v>
      </c>
      <c r="Z37" s="112">
        <v>2</v>
      </c>
      <c r="AA37" s="112">
        <v>3</v>
      </c>
      <c r="AB37" s="112">
        <v>2</v>
      </c>
      <c r="AC37" s="112">
        <v>6</v>
      </c>
      <c r="AD37" s="2" t="s">
        <v>58</v>
      </c>
      <c r="AE37" s="2" t="s">
        <v>59</v>
      </c>
      <c r="AF37" s="2" t="s">
        <v>81</v>
      </c>
      <c r="AG37" s="2" t="s">
        <v>51</v>
      </c>
      <c r="AH37" s="2" t="s">
        <v>52</v>
      </c>
      <c r="AI37" s="2" t="s">
        <v>53</v>
      </c>
      <c r="AJ37" s="2" t="s">
        <v>89</v>
      </c>
      <c r="AK37" s="2" t="s">
        <v>68</v>
      </c>
    </row>
    <row r="38" spans="1:37" ht="16" customHeight="1" x14ac:dyDescent="0.35">
      <c r="A38" s="1">
        <v>45631.591365740744</v>
      </c>
      <c r="B38" s="1">
        <v>45631.593854166669</v>
      </c>
      <c r="C38" s="2" t="s">
        <v>37</v>
      </c>
      <c r="D38" s="2" t="s">
        <v>121</v>
      </c>
      <c r="E38">
        <v>100</v>
      </c>
      <c r="F38" s="5">
        <v>214.99999996740371</v>
      </c>
      <c r="G38" s="7" t="s">
        <v>40</v>
      </c>
      <c r="H38" s="1">
        <v>45631.592480231484</v>
      </c>
      <c r="I38" s="2" t="s">
        <v>144</v>
      </c>
      <c r="J38" s="2" t="s">
        <v>39</v>
      </c>
      <c r="K38" s="2" t="s">
        <v>39</v>
      </c>
      <c r="L38" s="2" t="s">
        <v>39</v>
      </c>
      <c r="M38" s="2" t="s">
        <v>39</v>
      </c>
      <c r="N38">
        <v>53.337899999999998</v>
      </c>
      <c r="O38">
        <v>-6.2591000000000001</v>
      </c>
      <c r="P38" s="2" t="s">
        <v>46</v>
      </c>
      <c r="Q38" s="2" t="s">
        <v>43</v>
      </c>
      <c r="R38" s="112">
        <v>5</v>
      </c>
      <c r="S38" s="112">
        <v>3</v>
      </c>
      <c r="T38" s="112">
        <v>4</v>
      </c>
      <c r="U38" s="112">
        <v>6</v>
      </c>
      <c r="V38" s="112">
        <v>5</v>
      </c>
      <c r="W38" s="112">
        <v>3</v>
      </c>
      <c r="X38" s="112">
        <v>4</v>
      </c>
      <c r="Y38" s="112">
        <v>4</v>
      </c>
      <c r="Z38" s="112">
        <v>3</v>
      </c>
      <c r="AA38" s="112">
        <v>4</v>
      </c>
      <c r="AB38" s="112">
        <v>3</v>
      </c>
      <c r="AC38" s="112">
        <v>7</v>
      </c>
      <c r="AD38" s="2" t="s">
        <v>48</v>
      </c>
      <c r="AE38" s="2" t="s">
        <v>49</v>
      </c>
      <c r="AF38" s="2" t="s">
        <v>50</v>
      </c>
      <c r="AG38" s="2" t="s">
        <v>51</v>
      </c>
      <c r="AH38" s="2" t="s">
        <v>52</v>
      </c>
      <c r="AI38" s="2" t="s">
        <v>53</v>
      </c>
      <c r="AJ38" s="2" t="s">
        <v>54</v>
      </c>
      <c r="AK38" s="2" t="s">
        <v>68</v>
      </c>
    </row>
    <row r="39" spans="1:37" ht="16" customHeight="1" x14ac:dyDescent="0.35">
      <c r="A39" s="1">
        <v>45631.752245370371</v>
      </c>
      <c r="B39" s="1">
        <v>45631.755659722221</v>
      </c>
      <c r="C39" s="2" t="s">
        <v>37</v>
      </c>
      <c r="D39" s="2" t="s">
        <v>140</v>
      </c>
      <c r="E39">
        <v>100</v>
      </c>
      <c r="F39" s="5">
        <v>294.99999980907887</v>
      </c>
      <c r="G39" s="7" t="s">
        <v>40</v>
      </c>
      <c r="H39" s="1">
        <v>45631.752895787038</v>
      </c>
      <c r="I39" s="2" t="s">
        <v>146</v>
      </c>
      <c r="J39" s="2" t="s">
        <v>39</v>
      </c>
      <c r="K39" s="2" t="s">
        <v>39</v>
      </c>
      <c r="L39" s="2" t="s">
        <v>39</v>
      </c>
      <c r="M39" s="2" t="s">
        <v>39</v>
      </c>
      <c r="N39" s="4">
        <v>52.149214999999998</v>
      </c>
      <c r="O39" s="4">
        <v>-7.2439980000000004</v>
      </c>
      <c r="P39" s="2" t="s">
        <v>46</v>
      </c>
      <c r="Q39" s="2" t="s">
        <v>43</v>
      </c>
      <c r="R39" s="112">
        <v>6</v>
      </c>
      <c r="S39" s="112">
        <v>4</v>
      </c>
      <c r="T39" s="112">
        <v>3</v>
      </c>
      <c r="U39" s="112">
        <v>7</v>
      </c>
      <c r="V39" s="112">
        <v>5</v>
      </c>
      <c r="W39" s="112">
        <v>3</v>
      </c>
      <c r="X39" s="112">
        <v>5</v>
      </c>
      <c r="Y39" s="112">
        <v>6</v>
      </c>
      <c r="Z39" s="112">
        <v>2</v>
      </c>
      <c r="AA39" s="112">
        <v>4</v>
      </c>
      <c r="AB39" s="112">
        <v>3</v>
      </c>
      <c r="AC39" s="112">
        <v>7</v>
      </c>
      <c r="AD39" s="2" t="s">
        <v>48</v>
      </c>
      <c r="AE39" s="2" t="s">
        <v>59</v>
      </c>
      <c r="AF39" s="2" t="s">
        <v>50</v>
      </c>
      <c r="AG39" s="2" t="s">
        <v>51</v>
      </c>
      <c r="AH39" s="2" t="s">
        <v>52</v>
      </c>
      <c r="AI39" s="2" t="s">
        <v>60</v>
      </c>
      <c r="AJ39" s="2" t="s">
        <v>54</v>
      </c>
      <c r="AK39" s="2" t="s">
        <v>68</v>
      </c>
    </row>
    <row r="40" spans="1:37" ht="16" customHeight="1" x14ac:dyDescent="0.35">
      <c r="A40" s="1">
        <v>45633.022581018522</v>
      </c>
      <c r="B40" s="1">
        <v>45633.026597222219</v>
      </c>
      <c r="C40" s="2" t="s">
        <v>37</v>
      </c>
      <c r="D40" s="2" t="s">
        <v>115</v>
      </c>
      <c r="E40">
        <v>100</v>
      </c>
      <c r="F40" s="5">
        <v>346.99999939184636</v>
      </c>
      <c r="G40" s="7" t="s">
        <v>40</v>
      </c>
      <c r="H40" s="1">
        <v>45633.023139548612</v>
      </c>
      <c r="I40" s="2" t="s">
        <v>148</v>
      </c>
      <c r="J40" s="2" t="s">
        <v>39</v>
      </c>
      <c r="K40" s="2" t="s">
        <v>39</v>
      </c>
      <c r="L40" s="2" t="s">
        <v>39</v>
      </c>
      <c r="M40" s="2" t="s">
        <v>39</v>
      </c>
      <c r="N40">
        <v>53.379800000000003</v>
      </c>
      <c r="O40">
        <v>-6.4135999999999997</v>
      </c>
      <c r="P40" s="2" t="s">
        <v>46</v>
      </c>
      <c r="Q40" s="2" t="s">
        <v>43</v>
      </c>
      <c r="R40" s="112">
        <v>5</v>
      </c>
      <c r="S40" s="112">
        <v>3</v>
      </c>
      <c r="T40" s="112">
        <v>4</v>
      </c>
      <c r="U40" s="112">
        <v>6</v>
      </c>
      <c r="V40" s="112">
        <v>5</v>
      </c>
      <c r="W40" s="112">
        <v>3</v>
      </c>
      <c r="X40" s="112">
        <v>4</v>
      </c>
      <c r="Y40" s="112">
        <v>5</v>
      </c>
      <c r="Z40" s="112">
        <v>3</v>
      </c>
      <c r="AA40" s="112">
        <v>4</v>
      </c>
      <c r="AB40" s="112">
        <v>2</v>
      </c>
      <c r="AC40" s="112">
        <v>7</v>
      </c>
      <c r="AD40" s="2" t="s">
        <v>48</v>
      </c>
      <c r="AE40" s="2" t="s">
        <v>49</v>
      </c>
      <c r="AF40" s="2" t="s">
        <v>81</v>
      </c>
      <c r="AG40" s="2" t="s">
        <v>51</v>
      </c>
      <c r="AH40" s="2" t="s">
        <v>52</v>
      </c>
      <c r="AI40" s="2" t="s">
        <v>60</v>
      </c>
      <c r="AJ40" s="2" t="s">
        <v>54</v>
      </c>
      <c r="AK40" s="2" t="s">
        <v>85</v>
      </c>
    </row>
    <row r="41" spans="1:37" ht="16" customHeight="1" x14ac:dyDescent="0.35">
      <c r="A41" s="1">
        <v>45633.167881944442</v>
      </c>
      <c r="B41" s="1">
        <v>45633.1715625</v>
      </c>
      <c r="C41" s="2" t="s">
        <v>37</v>
      </c>
      <c r="D41" s="2" t="s">
        <v>149</v>
      </c>
      <c r="E41">
        <v>100</v>
      </c>
      <c r="F41" s="5">
        <v>318.00000015646219</v>
      </c>
      <c r="G41" s="7" t="s">
        <v>40</v>
      </c>
      <c r="H41" s="1">
        <v>45633.168803576387</v>
      </c>
      <c r="I41" s="2" t="s">
        <v>150</v>
      </c>
      <c r="J41" s="2" t="s">
        <v>39</v>
      </c>
      <c r="K41" s="2" t="s">
        <v>39</v>
      </c>
      <c r="L41" s="2" t="s">
        <v>39</v>
      </c>
      <c r="M41" s="2" t="s">
        <v>39</v>
      </c>
      <c r="N41" s="4">
        <v>52.979354000000001</v>
      </c>
      <c r="O41" s="4">
        <v>-9.1416900000000005</v>
      </c>
      <c r="P41" s="2" t="s">
        <v>46</v>
      </c>
      <c r="Q41" s="2" t="s">
        <v>43</v>
      </c>
      <c r="R41" s="112">
        <v>6</v>
      </c>
      <c r="S41" s="112">
        <v>3</v>
      </c>
      <c r="T41" s="112">
        <v>3</v>
      </c>
      <c r="U41" s="112">
        <v>7</v>
      </c>
      <c r="V41" s="112">
        <v>5</v>
      </c>
      <c r="W41" s="112">
        <v>3</v>
      </c>
      <c r="X41" s="112">
        <v>4</v>
      </c>
      <c r="Y41" s="112">
        <v>5</v>
      </c>
      <c r="Z41" s="112">
        <v>2</v>
      </c>
      <c r="AA41" s="112">
        <v>3</v>
      </c>
      <c r="AB41" s="112">
        <v>3</v>
      </c>
      <c r="AC41" s="112">
        <v>7</v>
      </c>
      <c r="AD41" s="2" t="s">
        <v>88</v>
      </c>
      <c r="AE41" s="2" t="s">
        <v>59</v>
      </c>
      <c r="AF41" s="2" t="s">
        <v>50</v>
      </c>
      <c r="AG41" s="2" t="s">
        <v>51</v>
      </c>
      <c r="AH41" s="2" t="s">
        <v>52</v>
      </c>
      <c r="AI41" s="2" t="s">
        <v>53</v>
      </c>
      <c r="AJ41" s="2" t="s">
        <v>95</v>
      </c>
      <c r="AK41" s="2" t="s">
        <v>61</v>
      </c>
    </row>
    <row r="42" spans="1:37" ht="16" customHeight="1" x14ac:dyDescent="0.35">
      <c r="A42" s="1">
        <v>45633.273090277777</v>
      </c>
      <c r="B42" s="1">
        <v>45633.274872685186</v>
      </c>
      <c r="C42" s="2" t="s">
        <v>37</v>
      </c>
      <c r="D42" s="2" t="s">
        <v>182</v>
      </c>
      <c r="E42">
        <v>100</v>
      </c>
      <c r="F42" s="5">
        <v>154.00000016670674</v>
      </c>
      <c r="G42" s="7" t="s">
        <v>40</v>
      </c>
      <c r="H42" s="1">
        <v>45633.274189976852</v>
      </c>
      <c r="I42" s="2" t="s">
        <v>152</v>
      </c>
      <c r="J42" s="2" t="s">
        <v>39</v>
      </c>
      <c r="K42" s="2" t="s">
        <v>39</v>
      </c>
      <c r="L42" s="2" t="s">
        <v>39</v>
      </c>
      <c r="M42" s="2" t="s">
        <v>39</v>
      </c>
      <c r="N42">
        <v>52.579000000000001</v>
      </c>
      <c r="O42">
        <v>13.325799999999999</v>
      </c>
      <c r="P42" s="2" t="s">
        <v>46</v>
      </c>
      <c r="Q42" s="2" t="s">
        <v>43</v>
      </c>
      <c r="R42" s="112">
        <v>5</v>
      </c>
      <c r="S42" s="112">
        <v>4</v>
      </c>
      <c r="T42" s="112">
        <v>3</v>
      </c>
      <c r="U42" s="112">
        <v>6</v>
      </c>
      <c r="V42" s="112">
        <v>4</v>
      </c>
      <c r="W42" s="112">
        <v>3</v>
      </c>
      <c r="X42" s="112">
        <v>5</v>
      </c>
      <c r="Y42" s="112">
        <v>5</v>
      </c>
      <c r="Z42" s="112">
        <v>3</v>
      </c>
      <c r="AA42" s="112">
        <v>4</v>
      </c>
      <c r="AB42" s="112">
        <v>2</v>
      </c>
      <c r="AC42" s="112">
        <v>6</v>
      </c>
      <c r="AD42" s="2" t="s">
        <v>48</v>
      </c>
      <c r="AE42" s="2" t="s">
        <v>59</v>
      </c>
      <c r="AF42" s="2" t="s">
        <v>50</v>
      </c>
      <c r="AG42" s="2" t="s">
        <v>127</v>
      </c>
      <c r="AH42" s="2" t="s">
        <v>52</v>
      </c>
      <c r="AI42" s="2" t="s">
        <v>60</v>
      </c>
      <c r="AJ42" s="2" t="s">
        <v>54</v>
      </c>
      <c r="AK42" s="2" t="s">
        <v>68</v>
      </c>
    </row>
    <row r="43" spans="1:37" ht="16" customHeight="1" x14ac:dyDescent="0.35">
      <c r="A43" s="1">
        <v>45633.339363425926</v>
      </c>
      <c r="B43" s="1">
        <v>45633.341863425929</v>
      </c>
      <c r="C43" s="2" t="s">
        <v>37</v>
      </c>
      <c r="D43" s="2" t="s">
        <v>78</v>
      </c>
      <c r="E43">
        <v>100</v>
      </c>
      <c r="F43" s="5">
        <v>216.00000020116568</v>
      </c>
      <c r="G43" s="7" t="s">
        <v>40</v>
      </c>
      <c r="H43" s="1">
        <v>45633.340485185188</v>
      </c>
      <c r="I43" s="2" t="s">
        <v>154</v>
      </c>
      <c r="J43" s="2" t="s">
        <v>39</v>
      </c>
      <c r="K43" s="2" t="s">
        <v>39</v>
      </c>
      <c r="L43" s="2" t="s">
        <v>39</v>
      </c>
      <c r="M43" s="2" t="s">
        <v>39</v>
      </c>
      <c r="N43">
        <v>53.392400000000002</v>
      </c>
      <c r="O43">
        <v>-6.3053999999999997</v>
      </c>
      <c r="P43" s="2" t="s">
        <v>46</v>
      </c>
      <c r="Q43" s="2" t="s">
        <v>43</v>
      </c>
      <c r="R43" s="112">
        <v>6</v>
      </c>
      <c r="S43" s="112">
        <v>3</v>
      </c>
      <c r="T43" s="112">
        <v>4</v>
      </c>
      <c r="U43" s="112">
        <v>7</v>
      </c>
      <c r="V43" s="112">
        <v>5</v>
      </c>
      <c r="W43" s="112">
        <v>3</v>
      </c>
      <c r="X43" s="112">
        <v>4</v>
      </c>
      <c r="Y43" s="112">
        <v>5</v>
      </c>
      <c r="Z43" s="112">
        <v>2</v>
      </c>
      <c r="AA43" s="112">
        <v>4</v>
      </c>
      <c r="AB43" s="112">
        <v>3</v>
      </c>
      <c r="AC43" s="112">
        <v>6</v>
      </c>
      <c r="AD43" s="2" t="s">
        <v>88</v>
      </c>
      <c r="AE43" s="2" t="s">
        <v>59</v>
      </c>
      <c r="AF43" s="2" t="s">
        <v>81</v>
      </c>
      <c r="AG43" s="2" t="s">
        <v>51</v>
      </c>
      <c r="AH43" s="2" t="s">
        <v>52</v>
      </c>
      <c r="AI43" s="2" t="s">
        <v>60</v>
      </c>
      <c r="AJ43" s="2" t="s">
        <v>54</v>
      </c>
      <c r="AK43" s="2" t="s">
        <v>155</v>
      </c>
    </row>
    <row r="44" spans="1:37" ht="16" customHeight="1" x14ac:dyDescent="0.35">
      <c r="A44" s="1">
        <v>45633.440081018518</v>
      </c>
      <c r="B44" s="1">
        <v>45633.442511574074</v>
      </c>
      <c r="C44" s="2" t="s">
        <v>37</v>
      </c>
      <c r="D44" s="2" t="s">
        <v>199</v>
      </c>
      <c r="E44">
        <v>100</v>
      </c>
      <c r="F44" s="5">
        <v>210.00000005587935</v>
      </c>
      <c r="G44" s="7" t="s">
        <v>40</v>
      </c>
      <c r="H44" s="1">
        <v>45633.441137569447</v>
      </c>
      <c r="I44" s="2" t="s">
        <v>157</v>
      </c>
      <c r="J44" s="2" t="s">
        <v>39</v>
      </c>
      <c r="K44" s="2" t="s">
        <v>39</v>
      </c>
      <c r="L44" s="2" t="s">
        <v>39</v>
      </c>
      <c r="M44" s="2" t="s">
        <v>39</v>
      </c>
      <c r="N44">
        <v>12.9634</v>
      </c>
      <c r="O44">
        <v>77.585499999999996</v>
      </c>
      <c r="P44" s="2" t="s">
        <v>46</v>
      </c>
      <c r="Q44" s="2" t="s">
        <v>43</v>
      </c>
      <c r="R44" s="112">
        <v>5</v>
      </c>
      <c r="S44" s="112">
        <v>4</v>
      </c>
      <c r="T44" s="112">
        <v>3</v>
      </c>
      <c r="U44" s="112">
        <v>7</v>
      </c>
      <c r="V44" s="112">
        <v>5</v>
      </c>
      <c r="W44" s="112">
        <v>3</v>
      </c>
      <c r="X44" s="112">
        <v>5</v>
      </c>
      <c r="Y44" s="112">
        <v>6</v>
      </c>
      <c r="Z44" s="112">
        <v>3</v>
      </c>
      <c r="AA44" s="112">
        <v>4</v>
      </c>
      <c r="AB44" s="112">
        <v>2</v>
      </c>
      <c r="AC44" s="112">
        <v>7</v>
      </c>
      <c r="AD44" s="2" t="s">
        <v>58</v>
      </c>
      <c r="AE44" s="2" t="s">
        <v>59</v>
      </c>
      <c r="AF44" s="2" t="s">
        <v>81</v>
      </c>
      <c r="AG44" s="2" t="s">
        <v>66</v>
      </c>
      <c r="AH44" s="2" t="s">
        <v>52</v>
      </c>
      <c r="AI44" s="2" t="s">
        <v>53</v>
      </c>
      <c r="AJ44" s="2" t="s">
        <v>89</v>
      </c>
      <c r="AK44" s="2" t="s">
        <v>61</v>
      </c>
    </row>
    <row r="45" spans="1:37" ht="16" customHeight="1" x14ac:dyDescent="0.35">
      <c r="A45" s="1">
        <v>45635.451284722221</v>
      </c>
      <c r="B45" s="1">
        <v>45635.452951388892</v>
      </c>
      <c r="C45" s="2" t="s">
        <v>37</v>
      </c>
      <c r="D45" s="2" t="s">
        <v>101</v>
      </c>
      <c r="E45">
        <v>100</v>
      </c>
      <c r="F45" s="5">
        <v>144.00000034365803</v>
      </c>
      <c r="G45" s="7" t="s">
        <v>40</v>
      </c>
      <c r="H45" s="1">
        <v>45635.452970543978</v>
      </c>
      <c r="I45" s="2" t="s">
        <v>159</v>
      </c>
      <c r="J45" s="2" t="s">
        <v>39</v>
      </c>
      <c r="K45" s="2" t="s">
        <v>39</v>
      </c>
      <c r="L45" s="2" t="s">
        <v>39</v>
      </c>
      <c r="M45" s="2" t="s">
        <v>39</v>
      </c>
      <c r="N45" s="4">
        <v>55.149540999999999</v>
      </c>
      <c r="O45" s="4">
        <v>-6.0882449999999997</v>
      </c>
      <c r="P45" s="2" t="s">
        <v>46</v>
      </c>
      <c r="Q45" s="2" t="s">
        <v>43</v>
      </c>
      <c r="R45" s="112">
        <v>6</v>
      </c>
      <c r="S45" s="112">
        <v>3</v>
      </c>
      <c r="T45" s="112">
        <v>3</v>
      </c>
      <c r="U45" s="112">
        <v>6</v>
      </c>
      <c r="V45" s="112">
        <v>4</v>
      </c>
      <c r="W45" s="112">
        <v>3</v>
      </c>
      <c r="X45" s="112">
        <v>4</v>
      </c>
      <c r="Y45" s="112">
        <v>5</v>
      </c>
      <c r="Z45" s="112">
        <v>2</v>
      </c>
      <c r="AA45" s="112">
        <v>3</v>
      </c>
      <c r="AB45" s="112">
        <v>2</v>
      </c>
      <c r="AC45" s="112">
        <v>7</v>
      </c>
      <c r="AD45" s="2" t="s">
        <v>48</v>
      </c>
      <c r="AE45" s="2" t="s">
        <v>49</v>
      </c>
      <c r="AF45" s="2" t="s">
        <v>50</v>
      </c>
      <c r="AG45" s="2" t="s">
        <v>51</v>
      </c>
      <c r="AH45" s="2" t="s">
        <v>67</v>
      </c>
      <c r="AI45" s="2" t="s">
        <v>60</v>
      </c>
      <c r="AJ45" s="2" t="s">
        <v>54</v>
      </c>
      <c r="AK45" s="2" t="s">
        <v>85</v>
      </c>
    </row>
    <row r="46" spans="1:37" ht="16" customHeight="1" x14ac:dyDescent="0.35">
      <c r="A46" s="1">
        <v>45635.453206018516</v>
      </c>
      <c r="B46" s="1">
        <v>45635.454513888886</v>
      </c>
      <c r="C46" s="2" t="s">
        <v>37</v>
      </c>
      <c r="D46" s="2" t="s">
        <v>156</v>
      </c>
      <c r="E46">
        <v>100</v>
      </c>
      <c r="F46" s="5">
        <v>113.00000001210719</v>
      </c>
      <c r="G46" s="7" t="s">
        <v>40</v>
      </c>
      <c r="H46" s="1">
        <v>45635.453835729168</v>
      </c>
      <c r="I46" s="2" t="s">
        <v>160</v>
      </c>
      <c r="J46" s="2" t="s">
        <v>39</v>
      </c>
      <c r="K46" s="2" t="s">
        <v>39</v>
      </c>
      <c r="L46" s="2" t="s">
        <v>39</v>
      </c>
      <c r="M46" s="2" t="s">
        <v>39</v>
      </c>
      <c r="N46" s="4">
        <v>53.516644999999997</v>
      </c>
      <c r="O46" s="4">
        <v>-8.4695110000000007</v>
      </c>
      <c r="P46" s="2" t="s">
        <v>46</v>
      </c>
      <c r="Q46" s="2" t="s">
        <v>43</v>
      </c>
      <c r="R46" s="112">
        <v>5</v>
      </c>
      <c r="S46" s="112">
        <v>4</v>
      </c>
      <c r="T46" s="112">
        <v>4</v>
      </c>
      <c r="U46" s="112">
        <v>6</v>
      </c>
      <c r="V46" s="112">
        <v>5</v>
      </c>
      <c r="W46" s="112">
        <v>3</v>
      </c>
      <c r="X46" s="112">
        <v>4</v>
      </c>
      <c r="Y46" s="112">
        <v>5</v>
      </c>
      <c r="Z46" s="112">
        <v>3</v>
      </c>
      <c r="AA46" s="112">
        <v>4</v>
      </c>
      <c r="AB46" s="112">
        <v>3</v>
      </c>
      <c r="AC46" s="112">
        <v>7</v>
      </c>
      <c r="AD46" s="2" t="s">
        <v>48</v>
      </c>
      <c r="AE46" s="2" t="s">
        <v>49</v>
      </c>
      <c r="AF46" s="2" t="s">
        <v>50</v>
      </c>
      <c r="AG46" s="2" t="s">
        <v>51</v>
      </c>
      <c r="AH46" s="2" t="s">
        <v>67</v>
      </c>
      <c r="AI46" s="2" t="s">
        <v>161</v>
      </c>
      <c r="AJ46" s="2" t="s">
        <v>54</v>
      </c>
      <c r="AK46" s="2" t="s">
        <v>85</v>
      </c>
    </row>
    <row r="47" spans="1:37" ht="16" customHeight="1" x14ac:dyDescent="0.35">
      <c r="A47" s="1">
        <v>45635.49181712963</v>
      </c>
      <c r="B47" s="1">
        <v>45635.49391203704</v>
      </c>
      <c r="C47" s="2" t="s">
        <v>37</v>
      </c>
      <c r="D47" s="2" t="s">
        <v>109</v>
      </c>
      <c r="E47">
        <v>100</v>
      </c>
      <c r="F47" s="5">
        <v>181.00000019185245</v>
      </c>
      <c r="G47" s="7" t="s">
        <v>40</v>
      </c>
      <c r="H47" s="1">
        <v>45635.492536770835</v>
      </c>
      <c r="I47" s="2" t="s">
        <v>163</v>
      </c>
      <c r="J47" s="2" t="s">
        <v>39</v>
      </c>
      <c r="K47" s="2" t="s">
        <v>39</v>
      </c>
      <c r="L47" s="2" t="s">
        <v>39</v>
      </c>
      <c r="M47" s="2" t="s">
        <v>39</v>
      </c>
      <c r="N47">
        <v>53.3292</v>
      </c>
      <c r="O47">
        <v>-6.3986000000000001</v>
      </c>
      <c r="P47" s="2" t="s">
        <v>46</v>
      </c>
      <c r="Q47" s="2" t="s">
        <v>43</v>
      </c>
      <c r="R47" s="112">
        <v>6</v>
      </c>
      <c r="S47" s="112">
        <v>3</v>
      </c>
      <c r="T47" s="112">
        <v>3</v>
      </c>
      <c r="U47" s="112">
        <v>7</v>
      </c>
      <c r="V47" s="112">
        <v>5</v>
      </c>
      <c r="W47" s="112">
        <v>3</v>
      </c>
      <c r="X47" s="112">
        <v>4</v>
      </c>
      <c r="Y47" s="112">
        <v>6</v>
      </c>
      <c r="Z47" s="112">
        <v>2</v>
      </c>
      <c r="AA47" s="112">
        <v>3</v>
      </c>
      <c r="AB47" s="112">
        <v>3</v>
      </c>
      <c r="AC47" s="112">
        <v>6</v>
      </c>
      <c r="AD47" s="2" t="s">
        <v>58</v>
      </c>
      <c r="AE47" s="2" t="s">
        <v>59</v>
      </c>
      <c r="AF47" s="2" t="s">
        <v>81</v>
      </c>
      <c r="AG47" s="2" t="s">
        <v>66</v>
      </c>
      <c r="AH47" s="2" t="s">
        <v>67</v>
      </c>
      <c r="AI47" s="2" t="s">
        <v>53</v>
      </c>
      <c r="AJ47" s="2" t="s">
        <v>54</v>
      </c>
      <c r="AK47" s="2" t="s">
        <v>68</v>
      </c>
    </row>
    <row r="48" spans="1:37" ht="16" customHeight="1" x14ac:dyDescent="0.35">
      <c r="A48" s="1">
        <v>45635.492592592593</v>
      </c>
      <c r="B48" s="1">
        <v>45635.495405092595</v>
      </c>
      <c r="C48" s="2" t="s">
        <v>37</v>
      </c>
      <c r="D48" s="2" t="s">
        <v>151</v>
      </c>
      <c r="E48">
        <v>100</v>
      </c>
      <c r="F48" s="5">
        <v>243.00000022631139</v>
      </c>
      <c r="G48" s="7" t="s">
        <v>40</v>
      </c>
      <c r="H48" s="1">
        <v>45635.49332927083</v>
      </c>
      <c r="I48" s="2" t="s">
        <v>164</v>
      </c>
      <c r="J48" s="2" t="s">
        <v>39</v>
      </c>
      <c r="K48" s="2" t="s">
        <v>39</v>
      </c>
      <c r="L48" s="2" t="s">
        <v>39</v>
      </c>
      <c r="M48" s="2" t="s">
        <v>39</v>
      </c>
      <c r="N48" s="4">
        <v>51.569871999999997</v>
      </c>
      <c r="O48" s="4">
        <v>-9.7796909999999997</v>
      </c>
      <c r="P48" s="2" t="s">
        <v>46</v>
      </c>
      <c r="Q48" s="2" t="s">
        <v>43</v>
      </c>
      <c r="R48" s="112">
        <v>5</v>
      </c>
      <c r="S48" s="112">
        <v>3</v>
      </c>
      <c r="T48" s="112">
        <v>4</v>
      </c>
      <c r="U48" s="112">
        <v>6</v>
      </c>
      <c r="V48" s="112">
        <v>5</v>
      </c>
      <c r="W48" s="112">
        <v>3</v>
      </c>
      <c r="X48" s="112">
        <v>4</v>
      </c>
      <c r="Y48" s="112">
        <v>5</v>
      </c>
      <c r="Z48" s="112">
        <v>3</v>
      </c>
      <c r="AA48" s="112">
        <v>4</v>
      </c>
      <c r="AB48" s="112">
        <v>3</v>
      </c>
      <c r="AC48" s="112">
        <v>4</v>
      </c>
      <c r="AD48" s="2" t="s">
        <v>58</v>
      </c>
      <c r="AE48" s="2" t="s">
        <v>59</v>
      </c>
      <c r="AF48" s="2" t="s">
        <v>81</v>
      </c>
      <c r="AG48" s="2" t="s">
        <v>51</v>
      </c>
      <c r="AH48" s="2" t="s">
        <v>52</v>
      </c>
      <c r="AI48" s="2" t="s">
        <v>60</v>
      </c>
      <c r="AJ48" s="2" t="s">
        <v>89</v>
      </c>
      <c r="AK48" s="2" t="s">
        <v>165</v>
      </c>
    </row>
    <row r="49" spans="1:37" ht="16" customHeight="1" x14ac:dyDescent="0.35">
      <c r="A49" s="1">
        <v>45635.493368055555</v>
      </c>
      <c r="B49" s="1">
        <v>45635.495092592595</v>
      </c>
      <c r="C49" s="2" t="s">
        <v>37</v>
      </c>
      <c r="D49" s="2" t="s">
        <v>195</v>
      </c>
      <c r="E49">
        <v>100</v>
      </c>
      <c r="F49" s="5">
        <v>149.00000025518239</v>
      </c>
      <c r="G49" s="7" t="s">
        <v>40</v>
      </c>
      <c r="H49" s="1">
        <v>45635.494407303238</v>
      </c>
      <c r="I49" s="2" t="s">
        <v>166</v>
      </c>
      <c r="J49" s="2" t="s">
        <v>39</v>
      </c>
      <c r="K49" s="2" t="s">
        <v>39</v>
      </c>
      <c r="L49" s="2" t="s">
        <v>39</v>
      </c>
      <c r="M49" s="2" t="s">
        <v>39</v>
      </c>
      <c r="N49" s="4">
        <v>52.301884000000001</v>
      </c>
      <c r="O49" s="4">
        <v>-9.5461299999999998</v>
      </c>
      <c r="P49" s="2" t="s">
        <v>46</v>
      </c>
      <c r="Q49" s="2" t="s">
        <v>43</v>
      </c>
      <c r="R49" s="112">
        <v>6</v>
      </c>
      <c r="S49" s="112">
        <v>3</v>
      </c>
      <c r="T49" s="112">
        <v>3</v>
      </c>
      <c r="U49" s="112">
        <v>7</v>
      </c>
      <c r="V49" s="112">
        <v>5</v>
      </c>
      <c r="W49" s="112">
        <v>3</v>
      </c>
      <c r="X49" s="112">
        <v>4</v>
      </c>
      <c r="Y49" s="112">
        <v>6</v>
      </c>
      <c r="Z49" s="112">
        <v>2</v>
      </c>
      <c r="AA49" s="112">
        <v>4</v>
      </c>
      <c r="AB49" s="112">
        <v>3</v>
      </c>
      <c r="AC49" s="112">
        <v>7</v>
      </c>
      <c r="AD49" s="2" t="s">
        <v>88</v>
      </c>
      <c r="AE49" s="2" t="s">
        <v>59</v>
      </c>
      <c r="AF49" s="2" t="s">
        <v>50</v>
      </c>
      <c r="AG49" s="2" t="s">
        <v>167</v>
      </c>
      <c r="AH49" s="2" t="s">
        <v>67</v>
      </c>
      <c r="AI49" s="2" t="s">
        <v>53</v>
      </c>
      <c r="AJ49" s="2" t="s">
        <v>54</v>
      </c>
      <c r="AK49" s="2" t="s">
        <v>71</v>
      </c>
    </row>
    <row r="50" spans="1:37" ht="16" customHeight="1" x14ac:dyDescent="0.35">
      <c r="A50" s="1">
        <v>45635.494479166664</v>
      </c>
      <c r="B50" s="1">
        <v>45635.496979166666</v>
      </c>
      <c r="C50" s="2" t="s">
        <v>37</v>
      </c>
      <c r="D50" s="2" t="s">
        <v>153</v>
      </c>
      <c r="E50">
        <v>100</v>
      </c>
      <c r="F50" s="5">
        <v>216.00000020116568</v>
      </c>
      <c r="G50" s="7" t="s">
        <v>40</v>
      </c>
      <c r="H50" s="1">
        <v>45635.495607766206</v>
      </c>
      <c r="I50" s="2" t="s">
        <v>168</v>
      </c>
      <c r="J50" s="2" t="s">
        <v>39</v>
      </c>
      <c r="K50" s="2" t="s">
        <v>39</v>
      </c>
      <c r="L50" s="2" t="s">
        <v>39</v>
      </c>
      <c r="M50" s="2" t="s">
        <v>39</v>
      </c>
      <c r="N50" s="4">
        <v>54.913556</v>
      </c>
      <c r="O50" s="4">
        <v>-7.1009140000000004</v>
      </c>
      <c r="P50" s="2" t="s">
        <v>46</v>
      </c>
      <c r="Q50" s="2" t="s">
        <v>43</v>
      </c>
      <c r="R50" s="112">
        <v>5</v>
      </c>
      <c r="S50" s="112">
        <v>4</v>
      </c>
      <c r="T50" s="112">
        <v>4</v>
      </c>
      <c r="U50" s="112">
        <v>6</v>
      </c>
      <c r="V50" s="112">
        <v>5</v>
      </c>
      <c r="W50" s="112">
        <v>3</v>
      </c>
      <c r="X50" s="112">
        <v>5</v>
      </c>
      <c r="Y50" s="112">
        <v>5</v>
      </c>
      <c r="Z50" s="112">
        <v>3</v>
      </c>
      <c r="AA50" s="112">
        <v>4</v>
      </c>
      <c r="AB50" s="112">
        <v>3</v>
      </c>
      <c r="AC50" s="112">
        <v>6</v>
      </c>
      <c r="AD50" s="2" t="s">
        <v>58</v>
      </c>
      <c r="AE50" s="2" t="s">
        <v>80</v>
      </c>
      <c r="AF50" s="2" t="s">
        <v>81</v>
      </c>
      <c r="AG50" s="2" t="s">
        <v>66</v>
      </c>
      <c r="AH50" s="2" t="s">
        <v>67</v>
      </c>
      <c r="AI50" s="2" t="s">
        <v>60</v>
      </c>
      <c r="AJ50" s="2" t="s">
        <v>95</v>
      </c>
      <c r="AK50" s="2" t="s">
        <v>85</v>
      </c>
    </row>
    <row r="51" spans="1:37" ht="16" customHeight="1" x14ac:dyDescent="0.35">
      <c r="A51" s="1">
        <v>45635.495625000003</v>
      </c>
      <c r="B51" s="1">
        <v>45635.498067129629</v>
      </c>
      <c r="C51" s="2" t="s">
        <v>37</v>
      </c>
      <c r="D51" s="2" t="s">
        <v>72</v>
      </c>
      <c r="E51">
        <v>100</v>
      </c>
      <c r="F51" s="5">
        <v>210.99999966099858</v>
      </c>
      <c r="G51" s="7" t="s">
        <v>40</v>
      </c>
      <c r="H51" s="1">
        <v>45635.496741643517</v>
      </c>
      <c r="I51" s="2" t="s">
        <v>169</v>
      </c>
      <c r="J51" s="2" t="s">
        <v>39</v>
      </c>
      <c r="K51" s="2" t="s">
        <v>39</v>
      </c>
      <c r="L51" s="2" t="s">
        <v>39</v>
      </c>
      <c r="M51" s="2" t="s">
        <v>39</v>
      </c>
      <c r="N51" s="4">
        <v>54.308307999999997</v>
      </c>
      <c r="O51" s="4">
        <v>-6.3010060000000001</v>
      </c>
      <c r="P51" s="2" t="s">
        <v>46</v>
      </c>
      <c r="Q51" s="2" t="s">
        <v>43</v>
      </c>
      <c r="R51" s="112">
        <v>6</v>
      </c>
      <c r="S51" s="112">
        <v>3</v>
      </c>
      <c r="T51" s="112">
        <v>4</v>
      </c>
      <c r="U51" s="112">
        <v>7</v>
      </c>
      <c r="V51" s="112">
        <v>5</v>
      </c>
      <c r="W51" s="112">
        <v>3</v>
      </c>
      <c r="X51" s="112">
        <v>5</v>
      </c>
      <c r="Y51" s="112">
        <v>5</v>
      </c>
      <c r="Z51" s="112">
        <v>2</v>
      </c>
      <c r="AA51" s="112">
        <v>4</v>
      </c>
      <c r="AB51" s="112">
        <v>2</v>
      </c>
      <c r="AC51" s="112">
        <v>7</v>
      </c>
      <c r="AD51" s="2" t="s">
        <v>48</v>
      </c>
      <c r="AE51" s="2" t="s">
        <v>49</v>
      </c>
      <c r="AF51" s="2" t="s">
        <v>50</v>
      </c>
      <c r="AG51" s="2" t="s">
        <v>127</v>
      </c>
      <c r="AH51" s="2" t="s">
        <v>52</v>
      </c>
      <c r="AI51" s="2" t="s">
        <v>53</v>
      </c>
      <c r="AJ51" s="2" t="s">
        <v>54</v>
      </c>
      <c r="AK51" s="2" t="s">
        <v>98</v>
      </c>
    </row>
    <row r="52" spans="1:37" ht="16" customHeight="1" x14ac:dyDescent="0.35">
      <c r="A52" s="1">
        <v>45635.496759259258</v>
      </c>
      <c r="B52" s="1">
        <v>45635.497928240744</v>
      </c>
      <c r="C52" s="2" t="s">
        <v>37</v>
      </c>
      <c r="D52" s="2" t="s">
        <v>162</v>
      </c>
      <c r="E52">
        <v>100</v>
      </c>
      <c r="F52" s="5">
        <v>101.00000035017729</v>
      </c>
      <c r="G52" s="7" t="s">
        <v>40</v>
      </c>
      <c r="H52" s="1">
        <v>45635.49725216435</v>
      </c>
      <c r="I52" s="2" t="s">
        <v>170</v>
      </c>
      <c r="J52" s="2" t="s">
        <v>39</v>
      </c>
      <c r="K52" s="2" t="s">
        <v>39</v>
      </c>
      <c r="L52" s="2" t="s">
        <v>39</v>
      </c>
      <c r="M52" s="2" t="s">
        <v>39</v>
      </c>
      <c r="N52" s="4">
        <v>54.373939</v>
      </c>
      <c r="O52" s="4">
        <v>-8.1021429999999999</v>
      </c>
      <c r="P52" s="2" t="s">
        <v>46</v>
      </c>
      <c r="Q52" s="2" t="s">
        <v>43</v>
      </c>
      <c r="R52" s="112">
        <v>5</v>
      </c>
      <c r="S52" s="112">
        <v>3</v>
      </c>
      <c r="T52" s="112">
        <v>3</v>
      </c>
      <c r="U52" s="112">
        <v>6</v>
      </c>
      <c r="V52" s="112">
        <v>4</v>
      </c>
      <c r="W52" s="112">
        <v>3</v>
      </c>
      <c r="X52" s="112">
        <v>4</v>
      </c>
      <c r="Y52" s="112">
        <v>5</v>
      </c>
      <c r="Z52" s="112">
        <v>2</v>
      </c>
      <c r="AA52" s="112">
        <v>3</v>
      </c>
      <c r="AB52" s="112">
        <v>2</v>
      </c>
      <c r="AC52" s="112">
        <v>7</v>
      </c>
      <c r="AD52" s="2" t="s">
        <v>88</v>
      </c>
      <c r="AE52" s="2" t="s">
        <v>59</v>
      </c>
      <c r="AF52" s="2" t="s">
        <v>81</v>
      </c>
      <c r="AG52" s="2" t="s">
        <v>127</v>
      </c>
      <c r="AH52" s="2" t="s">
        <v>52</v>
      </c>
      <c r="AI52" s="2" t="s">
        <v>60</v>
      </c>
      <c r="AJ52" s="2" t="s">
        <v>54</v>
      </c>
      <c r="AK52" s="2" t="s">
        <v>171</v>
      </c>
    </row>
    <row r="53" spans="1:37" ht="16" customHeight="1" x14ac:dyDescent="0.35">
      <c r="A53" s="1">
        <v>45635.49728009259</v>
      </c>
      <c r="B53" s="1">
        <v>45635.499224537038</v>
      </c>
      <c r="C53" s="2" t="s">
        <v>37</v>
      </c>
      <c r="D53" s="2" t="s">
        <v>200</v>
      </c>
      <c r="E53">
        <v>100</v>
      </c>
      <c r="F53" s="5">
        <v>168.00000029616058</v>
      </c>
      <c r="G53" s="7" t="s">
        <v>40</v>
      </c>
      <c r="H53" s="1">
        <v>45635.497841574077</v>
      </c>
      <c r="I53" s="2" t="s">
        <v>172</v>
      </c>
      <c r="J53" s="2" t="s">
        <v>39</v>
      </c>
      <c r="K53" s="2" t="s">
        <v>39</v>
      </c>
      <c r="L53" s="2" t="s">
        <v>39</v>
      </c>
      <c r="M53" s="2" t="s">
        <v>39</v>
      </c>
      <c r="N53" s="4">
        <v>51.737268999999998</v>
      </c>
      <c r="O53" s="4">
        <v>9.8781029999999994</v>
      </c>
      <c r="P53" s="2" t="s">
        <v>46</v>
      </c>
      <c r="Q53" s="2" t="s">
        <v>43</v>
      </c>
      <c r="R53" s="112">
        <v>6</v>
      </c>
      <c r="S53" s="112">
        <v>4</v>
      </c>
      <c r="T53" s="112">
        <v>4</v>
      </c>
      <c r="U53" s="112">
        <v>7</v>
      </c>
      <c r="V53" s="112">
        <v>5</v>
      </c>
      <c r="W53" s="112">
        <v>3</v>
      </c>
      <c r="X53" s="112">
        <v>5</v>
      </c>
      <c r="Y53" s="112">
        <v>6</v>
      </c>
      <c r="Z53" s="112">
        <v>3</v>
      </c>
      <c r="AA53" s="112">
        <v>4</v>
      </c>
      <c r="AB53" s="112">
        <v>3</v>
      </c>
      <c r="AC53" s="112">
        <v>6</v>
      </c>
      <c r="AD53" s="2" t="s">
        <v>88</v>
      </c>
      <c r="AE53" s="2" t="s">
        <v>59</v>
      </c>
      <c r="AF53" s="2" t="s">
        <v>81</v>
      </c>
      <c r="AG53" s="2" t="s">
        <v>127</v>
      </c>
      <c r="AH53" s="2" t="s">
        <v>52</v>
      </c>
      <c r="AI53" s="2" t="s">
        <v>53</v>
      </c>
      <c r="AJ53" s="2" t="s">
        <v>54</v>
      </c>
      <c r="AK53" s="2" t="s">
        <v>173</v>
      </c>
    </row>
    <row r="54" spans="1:37" ht="16" customHeight="1" x14ac:dyDescent="0.35">
      <c r="A54" s="1">
        <v>45635.551469907405</v>
      </c>
      <c r="B54" s="1">
        <v>45635.552268518521</v>
      </c>
      <c r="C54" s="2" t="s">
        <v>37</v>
      </c>
      <c r="D54" s="2" t="s">
        <v>192</v>
      </c>
      <c r="E54">
        <v>100</v>
      </c>
      <c r="F54">
        <v>69</v>
      </c>
      <c r="G54" s="7" t="s">
        <v>40</v>
      </c>
      <c r="H54" s="1">
        <v>45635.552289212967</v>
      </c>
      <c r="I54" s="2" t="s">
        <v>175</v>
      </c>
      <c r="J54" s="2" t="s">
        <v>39</v>
      </c>
      <c r="K54" s="2" t="s">
        <v>39</v>
      </c>
      <c r="L54" s="2" t="s">
        <v>39</v>
      </c>
      <c r="M54" s="2" t="s">
        <v>39</v>
      </c>
      <c r="N54">
        <v>9.4896999999999991</v>
      </c>
      <c r="O54">
        <v>76.322299999999998</v>
      </c>
      <c r="P54" s="2" t="s">
        <v>46</v>
      </c>
      <c r="Q54" s="2" t="s">
        <v>43</v>
      </c>
      <c r="R54" s="114" t="s">
        <v>39</v>
      </c>
      <c r="S54" s="114" t="s">
        <v>39</v>
      </c>
      <c r="T54" s="114" t="s">
        <v>39</v>
      </c>
      <c r="U54" s="114" t="s">
        <v>39</v>
      </c>
      <c r="V54" s="114" t="s">
        <v>39</v>
      </c>
      <c r="W54" s="114" t="s">
        <v>39</v>
      </c>
      <c r="X54" s="114" t="s">
        <v>39</v>
      </c>
      <c r="Y54" s="114" t="s">
        <v>39</v>
      </c>
      <c r="Z54" s="114" t="s">
        <v>39</v>
      </c>
      <c r="AA54" s="114" t="s">
        <v>39</v>
      </c>
      <c r="AB54" s="114" t="s">
        <v>39</v>
      </c>
      <c r="AC54" s="114" t="s">
        <v>39</v>
      </c>
      <c r="AD54" s="2" t="s">
        <v>48</v>
      </c>
      <c r="AE54" s="2" t="s">
        <v>59</v>
      </c>
      <c r="AF54" s="2" t="s">
        <v>81</v>
      </c>
      <c r="AG54" s="2" t="s">
        <v>66</v>
      </c>
      <c r="AH54" s="2" t="s">
        <v>52</v>
      </c>
      <c r="AI54" s="2" t="s">
        <v>53</v>
      </c>
      <c r="AJ54" s="2" t="s">
        <v>54</v>
      </c>
      <c r="AK54" s="2" t="s">
        <v>61</v>
      </c>
    </row>
    <row r="55" spans="1:37" ht="16" customHeight="1" x14ac:dyDescent="0.35">
      <c r="A55" s="1">
        <v>45635.559872685182</v>
      </c>
      <c r="B55" s="1">
        <v>45635.561099537037</v>
      </c>
      <c r="C55" s="2" t="s">
        <v>37</v>
      </c>
      <c r="D55" s="2" t="s">
        <v>176</v>
      </c>
      <c r="E55">
        <v>100</v>
      </c>
      <c r="F55" s="5">
        <v>106.00000026170164</v>
      </c>
      <c r="G55" s="7" t="s">
        <v>40</v>
      </c>
      <c r="H55" s="1">
        <v>45635.560941249998</v>
      </c>
      <c r="I55" s="2" t="s">
        <v>177</v>
      </c>
      <c r="J55" s="2" t="s">
        <v>39</v>
      </c>
      <c r="K55" s="2" t="s">
        <v>39</v>
      </c>
      <c r="L55" s="2" t="s">
        <v>39</v>
      </c>
      <c r="M55" s="2" t="s">
        <v>39</v>
      </c>
      <c r="N55" s="4">
        <v>52.230452999999997</v>
      </c>
      <c r="O55" s="4">
        <v>-5.5240039999999997</v>
      </c>
      <c r="P55" s="2" t="s">
        <v>46</v>
      </c>
      <c r="Q55" s="2" t="s">
        <v>43</v>
      </c>
      <c r="R55" s="111">
        <v>5</v>
      </c>
      <c r="S55" s="111">
        <v>3</v>
      </c>
      <c r="T55" s="111">
        <v>4</v>
      </c>
      <c r="U55" s="111">
        <v>6</v>
      </c>
      <c r="V55" s="111">
        <v>5</v>
      </c>
      <c r="W55" s="111">
        <v>3</v>
      </c>
      <c r="X55" s="111">
        <v>4</v>
      </c>
      <c r="Y55" s="111">
        <v>5</v>
      </c>
      <c r="Z55" s="111">
        <v>3</v>
      </c>
      <c r="AA55" s="111">
        <v>4</v>
      </c>
      <c r="AB55" s="111">
        <v>3</v>
      </c>
      <c r="AC55" s="111">
        <v>7</v>
      </c>
      <c r="AD55" s="2" t="s">
        <v>88</v>
      </c>
      <c r="AE55" s="2" t="s">
        <v>49</v>
      </c>
      <c r="AF55" s="2" t="s">
        <v>81</v>
      </c>
      <c r="AG55" s="2" t="s">
        <v>127</v>
      </c>
      <c r="AH55" s="2" t="s">
        <v>52</v>
      </c>
      <c r="AI55" s="2" t="s">
        <v>53</v>
      </c>
      <c r="AJ55" s="2" t="s">
        <v>89</v>
      </c>
      <c r="AK55" s="2" t="s">
        <v>55</v>
      </c>
    </row>
    <row r="56" spans="1:37" ht="16" customHeight="1" x14ac:dyDescent="0.35">
      <c r="A56" s="1">
        <v>45635.571909722225</v>
      </c>
      <c r="B56" s="1">
        <v>45635.573518518519</v>
      </c>
      <c r="C56" s="2" t="s">
        <v>37</v>
      </c>
      <c r="D56" s="2" t="s">
        <v>90</v>
      </c>
      <c r="E56">
        <v>100</v>
      </c>
      <c r="F56">
        <v>138</v>
      </c>
      <c r="G56" s="7" t="s">
        <v>40</v>
      </c>
      <c r="H56" s="1">
        <v>45635.573529479167</v>
      </c>
      <c r="I56" s="2" t="s">
        <v>179</v>
      </c>
      <c r="J56" s="2" t="s">
        <v>39</v>
      </c>
      <c r="K56" s="2" t="s">
        <v>39</v>
      </c>
      <c r="L56" s="2" t="s">
        <v>39</v>
      </c>
      <c r="M56" s="2" t="s">
        <v>39</v>
      </c>
      <c r="N56">
        <v>56.949599999999997</v>
      </c>
      <c r="O56">
        <v>24.097799999999999</v>
      </c>
      <c r="P56" s="2" t="s">
        <v>46</v>
      </c>
      <c r="Q56" s="2" t="s">
        <v>43</v>
      </c>
      <c r="R56" s="111">
        <v>6</v>
      </c>
      <c r="S56" s="111">
        <v>3</v>
      </c>
      <c r="T56" s="111">
        <v>3</v>
      </c>
      <c r="U56" s="111">
        <v>7</v>
      </c>
      <c r="V56" s="111">
        <v>5</v>
      </c>
      <c r="W56" s="111">
        <v>3</v>
      </c>
      <c r="X56" s="111">
        <v>4</v>
      </c>
      <c r="Y56" s="111">
        <v>5</v>
      </c>
      <c r="Z56" s="111">
        <v>2</v>
      </c>
      <c r="AA56" s="111">
        <v>3</v>
      </c>
      <c r="AB56" s="111">
        <v>2</v>
      </c>
      <c r="AC56" s="111">
        <v>6</v>
      </c>
      <c r="AD56" s="2" t="s">
        <v>94</v>
      </c>
      <c r="AE56" s="2" t="s">
        <v>59</v>
      </c>
      <c r="AF56" s="2" t="s">
        <v>81</v>
      </c>
      <c r="AG56" s="2" t="s">
        <v>127</v>
      </c>
      <c r="AH56" s="2" t="s">
        <v>52</v>
      </c>
      <c r="AI56" s="2" t="s">
        <v>60</v>
      </c>
      <c r="AJ56" s="2" t="s">
        <v>89</v>
      </c>
      <c r="AK56" s="2" t="s">
        <v>68</v>
      </c>
    </row>
    <row r="57" spans="1:37" ht="16" customHeight="1" x14ac:dyDescent="0.35">
      <c r="A57" s="1">
        <v>45635.578229166669</v>
      </c>
      <c r="B57" s="1">
        <v>45635.579398148147</v>
      </c>
      <c r="C57" s="2" t="s">
        <v>37</v>
      </c>
      <c r="D57" s="2" t="s">
        <v>158</v>
      </c>
      <c r="E57">
        <v>100</v>
      </c>
      <c r="F57">
        <v>100</v>
      </c>
      <c r="G57" s="7" t="s">
        <v>40</v>
      </c>
      <c r="H57" s="1">
        <v>45635.579408506943</v>
      </c>
      <c r="I57" s="2" t="s">
        <v>181</v>
      </c>
      <c r="J57" s="2" t="s">
        <v>39</v>
      </c>
      <c r="K57" s="2" t="s">
        <v>39</v>
      </c>
      <c r="L57" s="2" t="s">
        <v>39</v>
      </c>
      <c r="M57" s="2" t="s">
        <v>39</v>
      </c>
      <c r="N57">
        <v>9.9184999999999999</v>
      </c>
      <c r="O57">
        <v>76.255799999999994</v>
      </c>
      <c r="P57" s="2" t="s">
        <v>46</v>
      </c>
      <c r="Q57" s="2" t="s">
        <v>43</v>
      </c>
      <c r="R57" s="111">
        <v>5</v>
      </c>
      <c r="S57" s="111">
        <v>4</v>
      </c>
      <c r="T57" s="111">
        <v>4</v>
      </c>
      <c r="U57" s="111">
        <v>6</v>
      </c>
      <c r="V57" s="111">
        <v>5</v>
      </c>
      <c r="W57" s="111">
        <v>3</v>
      </c>
      <c r="X57" s="111">
        <v>4</v>
      </c>
      <c r="Y57" s="111">
        <v>5</v>
      </c>
      <c r="Z57" s="111">
        <v>3</v>
      </c>
      <c r="AA57" s="111">
        <v>4</v>
      </c>
      <c r="AB57" s="111">
        <v>3</v>
      </c>
      <c r="AC57" s="111">
        <v>7</v>
      </c>
      <c r="AD57" s="2" t="s">
        <v>58</v>
      </c>
      <c r="AE57" s="2" t="s">
        <v>59</v>
      </c>
      <c r="AF57" s="2" t="s">
        <v>81</v>
      </c>
      <c r="AG57" s="2" t="s">
        <v>66</v>
      </c>
      <c r="AH57" s="2" t="s">
        <v>52</v>
      </c>
      <c r="AI57" s="2" t="s">
        <v>53</v>
      </c>
      <c r="AJ57" s="2" t="s">
        <v>54</v>
      </c>
      <c r="AK57" s="2" t="s">
        <v>68</v>
      </c>
    </row>
    <row r="58" spans="1:37" ht="16" customHeight="1" x14ac:dyDescent="0.35">
      <c r="A58" s="1">
        <v>45635.583958333336</v>
      </c>
      <c r="B58" s="1">
        <v>45635.584872685184</v>
      </c>
      <c r="C58" s="2" t="s">
        <v>37</v>
      </c>
      <c r="D58" s="2" t="s">
        <v>113</v>
      </c>
      <c r="E58">
        <v>100</v>
      </c>
      <c r="F58">
        <v>79</v>
      </c>
      <c r="G58" s="7" t="s">
        <v>40</v>
      </c>
      <c r="H58" s="1">
        <v>45635.584890983795</v>
      </c>
      <c r="I58" s="2" t="s">
        <v>183</v>
      </c>
      <c r="J58" s="2" t="s">
        <v>39</v>
      </c>
      <c r="K58" s="2" t="s">
        <v>39</v>
      </c>
      <c r="L58" s="2" t="s">
        <v>39</v>
      </c>
      <c r="M58" s="2" t="s">
        <v>39</v>
      </c>
      <c r="N58" s="4">
        <v>51.628701999999997</v>
      </c>
      <c r="O58" s="4">
        <v>-5.7308960000000004</v>
      </c>
      <c r="P58" s="2" t="s">
        <v>46</v>
      </c>
      <c r="Q58" s="2" t="s">
        <v>43</v>
      </c>
      <c r="R58" s="111">
        <v>6</v>
      </c>
      <c r="S58" s="111">
        <v>3</v>
      </c>
      <c r="T58" s="111">
        <v>4</v>
      </c>
      <c r="U58" s="111">
        <v>7</v>
      </c>
      <c r="V58" s="111">
        <v>5</v>
      </c>
      <c r="W58" s="111">
        <v>3</v>
      </c>
      <c r="X58" s="111">
        <v>4</v>
      </c>
      <c r="Y58" s="111">
        <v>6</v>
      </c>
      <c r="Z58" s="111">
        <v>2</v>
      </c>
      <c r="AA58" s="111">
        <v>4</v>
      </c>
      <c r="AB58" s="111">
        <v>3</v>
      </c>
      <c r="AC58" s="111">
        <v>7</v>
      </c>
      <c r="AD58" s="2" t="s">
        <v>88</v>
      </c>
      <c r="AE58" s="2" t="s">
        <v>59</v>
      </c>
      <c r="AF58" s="2" t="s">
        <v>81</v>
      </c>
      <c r="AG58" s="2" t="s">
        <v>66</v>
      </c>
      <c r="AH58" s="2" t="s">
        <v>52</v>
      </c>
      <c r="AI58" s="2" t="s">
        <v>84</v>
      </c>
      <c r="AJ58" s="2" t="s">
        <v>54</v>
      </c>
      <c r="AK58" s="2" t="s">
        <v>68</v>
      </c>
    </row>
    <row r="59" spans="1:37" ht="16" customHeight="1" x14ac:dyDescent="0.35">
      <c r="A59" s="1">
        <v>45635.621898148151</v>
      </c>
      <c r="B59" s="1">
        <v>45635.622361111113</v>
      </c>
      <c r="C59" s="2" t="s">
        <v>37</v>
      </c>
      <c r="D59" s="2" t="s">
        <v>184</v>
      </c>
      <c r="E59">
        <v>100</v>
      </c>
      <c r="F59">
        <v>40</v>
      </c>
      <c r="G59" s="7" t="s">
        <v>40</v>
      </c>
      <c r="H59" s="1">
        <v>45635.622382638889</v>
      </c>
      <c r="I59" s="2" t="s">
        <v>185</v>
      </c>
      <c r="J59" s="2" t="s">
        <v>39</v>
      </c>
      <c r="K59" s="2" t="s">
        <v>39</v>
      </c>
      <c r="L59" s="2" t="s">
        <v>39</v>
      </c>
      <c r="M59" s="2" t="s">
        <v>39</v>
      </c>
      <c r="N59" s="4">
        <v>53.736465000000003</v>
      </c>
      <c r="O59">
        <v>-10.451983</v>
      </c>
      <c r="P59" s="2" t="s">
        <v>46</v>
      </c>
      <c r="Q59" s="2" t="s">
        <v>43</v>
      </c>
      <c r="R59" s="111">
        <v>5</v>
      </c>
      <c r="S59" s="111">
        <v>7</v>
      </c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2" t="s">
        <v>58</v>
      </c>
      <c r="AE59" s="2" t="s">
        <v>59</v>
      </c>
      <c r="AF59" s="2" t="s">
        <v>81</v>
      </c>
      <c r="AG59" s="2" t="s">
        <v>66</v>
      </c>
      <c r="AH59" s="2" t="s">
        <v>52</v>
      </c>
      <c r="AI59" s="2" t="s">
        <v>53</v>
      </c>
      <c r="AJ59" s="2" t="s">
        <v>54</v>
      </c>
      <c r="AK59" s="2" t="s">
        <v>68</v>
      </c>
    </row>
    <row r="60" spans="1:37" ht="16" customHeight="1" x14ac:dyDescent="0.35">
      <c r="A60" s="1">
        <v>45635.701319444444</v>
      </c>
      <c r="B60" s="1">
        <v>45635.7028125</v>
      </c>
      <c r="C60" s="2" t="s">
        <v>37</v>
      </c>
      <c r="D60" s="2" t="s">
        <v>186</v>
      </c>
      <c r="E60">
        <v>100</v>
      </c>
      <c r="F60">
        <v>128</v>
      </c>
      <c r="G60" s="7" t="s">
        <v>40</v>
      </c>
      <c r="H60" s="1">
        <v>45635.702830115741</v>
      </c>
      <c r="I60" s="2" t="s">
        <v>187</v>
      </c>
      <c r="J60" s="2" t="s">
        <v>39</v>
      </c>
      <c r="K60" s="2" t="s">
        <v>39</v>
      </c>
      <c r="L60" s="2" t="s">
        <v>39</v>
      </c>
      <c r="M60" s="2" t="s">
        <v>39</v>
      </c>
      <c r="N60">
        <v>9.9184999999999999</v>
      </c>
      <c r="O60">
        <v>76.255799999999994</v>
      </c>
      <c r="P60" s="2" t="s">
        <v>46</v>
      </c>
      <c r="Q60" s="2" t="s">
        <v>43</v>
      </c>
      <c r="R60" s="111">
        <v>5</v>
      </c>
      <c r="S60" s="111">
        <v>3</v>
      </c>
      <c r="T60" s="111">
        <v>3</v>
      </c>
      <c r="U60" s="111">
        <v>6</v>
      </c>
      <c r="V60" s="111">
        <v>5</v>
      </c>
      <c r="W60" s="111">
        <v>3</v>
      </c>
      <c r="X60" s="111">
        <v>4</v>
      </c>
      <c r="Y60" s="111">
        <v>5</v>
      </c>
      <c r="Z60" s="111">
        <v>3</v>
      </c>
      <c r="AA60" s="111">
        <v>4</v>
      </c>
      <c r="AB60" s="111">
        <v>3</v>
      </c>
      <c r="AC60" s="111">
        <v>7</v>
      </c>
      <c r="AD60" s="2" t="s">
        <v>48</v>
      </c>
      <c r="AE60" s="2" t="s">
        <v>59</v>
      </c>
      <c r="AF60" s="2" t="s">
        <v>81</v>
      </c>
      <c r="AG60" s="2" t="s">
        <v>66</v>
      </c>
      <c r="AH60" s="2" t="s">
        <v>52</v>
      </c>
      <c r="AI60" s="2" t="s">
        <v>53</v>
      </c>
      <c r="AJ60" s="2" t="s">
        <v>54</v>
      </c>
      <c r="AK60" s="2" t="s">
        <v>85</v>
      </c>
    </row>
    <row r="61" spans="1:37" ht="16" customHeight="1" x14ac:dyDescent="0.35">
      <c r="A61" s="1">
        <v>45636.759606481479</v>
      </c>
      <c r="B61" s="1">
        <v>45636.760520833333</v>
      </c>
      <c r="C61" s="2" t="s">
        <v>37</v>
      </c>
      <c r="D61" s="2" t="s">
        <v>188</v>
      </c>
      <c r="E61">
        <v>100</v>
      </c>
      <c r="F61">
        <v>79</v>
      </c>
      <c r="G61" s="7" t="s">
        <v>40</v>
      </c>
      <c r="H61" s="1">
        <v>45636.760537662034</v>
      </c>
      <c r="I61" s="2" t="s">
        <v>189</v>
      </c>
      <c r="J61" s="2" t="s">
        <v>39</v>
      </c>
      <c r="K61" s="2" t="s">
        <v>39</v>
      </c>
      <c r="L61" s="2" t="s">
        <v>39</v>
      </c>
      <c r="M61" s="2" t="s">
        <v>39</v>
      </c>
      <c r="N61">
        <v>10.516</v>
      </c>
      <c r="O61">
        <v>76.215699999999998</v>
      </c>
      <c r="P61" s="2" t="s">
        <v>46</v>
      </c>
      <c r="Q61" s="2" t="s">
        <v>43</v>
      </c>
      <c r="R61" s="114" t="s">
        <v>74</v>
      </c>
      <c r="S61" s="114" t="s">
        <v>74</v>
      </c>
      <c r="T61" s="114" t="s">
        <v>29</v>
      </c>
      <c r="U61" s="114" t="s">
        <v>74</v>
      </c>
      <c r="V61" s="114" t="s">
        <v>74</v>
      </c>
      <c r="W61" s="114" t="s">
        <v>74</v>
      </c>
      <c r="X61" s="114" t="s">
        <v>39</v>
      </c>
      <c r="Y61" s="114" t="s">
        <v>39</v>
      </c>
      <c r="Z61" s="114" t="s">
        <v>39</v>
      </c>
      <c r="AA61" s="114" t="s">
        <v>39</v>
      </c>
      <c r="AB61" s="114" t="s">
        <v>39</v>
      </c>
      <c r="AC61" s="114" t="s">
        <v>39</v>
      </c>
      <c r="AD61" s="2" t="s">
        <v>58</v>
      </c>
      <c r="AE61" s="2" t="s">
        <v>59</v>
      </c>
      <c r="AF61" s="2" t="s">
        <v>81</v>
      </c>
      <c r="AG61" s="2" t="s">
        <v>66</v>
      </c>
      <c r="AH61" s="2" t="s">
        <v>52</v>
      </c>
      <c r="AI61" s="2" t="s">
        <v>84</v>
      </c>
      <c r="AJ61" s="2" t="s">
        <v>89</v>
      </c>
      <c r="AK61" s="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836C6-3FDF-4D56-B568-9D06F875C501}">
  <dimension ref="A1:V51"/>
  <sheetViews>
    <sheetView topLeftCell="B1" zoomScale="95" workbookViewId="0">
      <selection activeCell="F2" sqref="F2"/>
    </sheetView>
  </sheetViews>
  <sheetFormatPr defaultColWidth="27.81640625" defaultRowHeight="16" customHeight="1" x14ac:dyDescent="0.35"/>
  <cols>
    <col min="1" max="1" width="8" customWidth="1"/>
    <col min="2" max="10" width="5" bestFit="1" customWidth="1"/>
    <col min="11" max="13" width="6" bestFit="1" customWidth="1"/>
    <col min="14" max="14" width="6" customWidth="1"/>
    <col min="15" max="15" width="12.54296875" bestFit="1" customWidth="1"/>
    <col min="16" max="16" width="6.1796875" bestFit="1" customWidth="1"/>
    <col min="17" max="17" width="6.81640625" bestFit="1" customWidth="1"/>
    <col min="18" max="18" width="19.1796875" bestFit="1" customWidth="1"/>
    <col min="19" max="19" width="10.81640625" bestFit="1" customWidth="1"/>
    <col min="20" max="20" width="10.1796875" bestFit="1" customWidth="1"/>
    <col min="21" max="21" width="20.7265625" bestFit="1" customWidth="1"/>
    <col min="22" max="22" width="62.453125" bestFit="1" customWidth="1"/>
  </cols>
  <sheetData>
    <row r="1" spans="1:22" ht="16" customHeight="1" x14ac:dyDescent="0.35"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/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</row>
    <row r="2" spans="1:22" ht="16" customHeight="1" x14ac:dyDescent="0.35">
      <c r="A2">
        <v>1</v>
      </c>
      <c r="B2" s="44">
        <v>5</v>
      </c>
      <c r="C2" s="44">
        <v>3</v>
      </c>
      <c r="D2" s="44">
        <v>2</v>
      </c>
      <c r="E2" s="44">
        <v>6</v>
      </c>
      <c r="F2" s="44">
        <v>5</v>
      </c>
      <c r="G2" s="44">
        <v>3</v>
      </c>
      <c r="H2" s="44">
        <v>4</v>
      </c>
      <c r="I2" s="44">
        <v>5</v>
      </c>
      <c r="J2" s="44">
        <v>2</v>
      </c>
      <c r="K2" s="44">
        <v>3</v>
      </c>
      <c r="L2" s="44">
        <v>2</v>
      </c>
      <c r="M2" s="44">
        <v>6</v>
      </c>
      <c r="N2" s="19"/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</row>
    <row r="3" spans="1:22" ht="16" customHeight="1" x14ac:dyDescent="0.35">
      <c r="A3">
        <v>2</v>
      </c>
      <c r="B3" s="44">
        <v>5</v>
      </c>
      <c r="C3" s="44">
        <v>2</v>
      </c>
      <c r="D3" s="44">
        <v>3</v>
      </c>
      <c r="E3" s="44">
        <v>6</v>
      </c>
      <c r="F3" s="44">
        <v>4</v>
      </c>
      <c r="G3" s="44">
        <v>2</v>
      </c>
      <c r="H3" s="44">
        <v>4</v>
      </c>
      <c r="I3" s="44">
        <v>5</v>
      </c>
      <c r="J3" s="44">
        <v>2</v>
      </c>
      <c r="K3" s="44">
        <v>3</v>
      </c>
      <c r="L3" s="44">
        <v>1</v>
      </c>
      <c r="M3" s="44">
        <v>6</v>
      </c>
      <c r="N3" s="19"/>
      <c r="O3" s="2" t="s">
        <v>58</v>
      </c>
      <c r="P3" s="2" t="s">
        <v>59</v>
      </c>
      <c r="Q3" s="2" t="s">
        <v>50</v>
      </c>
      <c r="R3" s="2" t="s">
        <v>51</v>
      </c>
      <c r="S3" s="2" t="s">
        <v>52</v>
      </c>
      <c r="T3" s="2" t="s">
        <v>60</v>
      </c>
      <c r="U3" s="2" t="s">
        <v>54</v>
      </c>
      <c r="V3" s="2" t="s">
        <v>61</v>
      </c>
    </row>
    <row r="4" spans="1:22" ht="16" customHeight="1" x14ac:dyDescent="0.35">
      <c r="A4">
        <v>3</v>
      </c>
      <c r="B4" s="44">
        <v>4</v>
      </c>
      <c r="C4" s="44">
        <v>3</v>
      </c>
      <c r="D4" s="44">
        <v>2</v>
      </c>
      <c r="E4" s="44">
        <v>5</v>
      </c>
      <c r="F4" s="44">
        <v>5</v>
      </c>
      <c r="G4" s="44">
        <v>3</v>
      </c>
      <c r="H4" s="44">
        <v>3</v>
      </c>
      <c r="I4" s="44">
        <v>4</v>
      </c>
      <c r="J4" s="44">
        <v>1</v>
      </c>
      <c r="K4" s="44">
        <v>3</v>
      </c>
      <c r="L4" s="44">
        <v>1</v>
      </c>
      <c r="M4" s="44">
        <v>6</v>
      </c>
      <c r="N4" s="19"/>
      <c r="O4" s="2" t="s">
        <v>48</v>
      </c>
      <c r="P4" s="2" t="s">
        <v>59</v>
      </c>
      <c r="Q4" s="2" t="s">
        <v>50</v>
      </c>
      <c r="R4" s="2" t="s">
        <v>66</v>
      </c>
      <c r="S4" s="2" t="s">
        <v>67</v>
      </c>
      <c r="T4" s="2" t="s">
        <v>53</v>
      </c>
      <c r="U4" s="2" t="s">
        <v>54</v>
      </c>
      <c r="V4" s="2" t="s">
        <v>68</v>
      </c>
    </row>
    <row r="5" spans="1:22" ht="16" customHeight="1" x14ac:dyDescent="0.35">
      <c r="A5">
        <v>4</v>
      </c>
      <c r="B5" s="44">
        <v>5</v>
      </c>
      <c r="C5" s="44">
        <v>2</v>
      </c>
      <c r="D5" s="44">
        <v>3</v>
      </c>
      <c r="E5" s="44">
        <v>6</v>
      </c>
      <c r="F5" s="44">
        <v>5</v>
      </c>
      <c r="G5" s="44">
        <v>3</v>
      </c>
      <c r="H5" s="44">
        <v>3</v>
      </c>
      <c r="I5" s="44">
        <v>5</v>
      </c>
      <c r="J5" s="44">
        <v>1</v>
      </c>
      <c r="K5" s="44">
        <v>2</v>
      </c>
      <c r="L5" s="44">
        <v>1</v>
      </c>
      <c r="M5" s="44">
        <v>5</v>
      </c>
      <c r="N5" s="19"/>
      <c r="O5" s="2" t="s">
        <v>48</v>
      </c>
      <c r="P5" s="2" t="s">
        <v>49</v>
      </c>
      <c r="Q5" s="2" t="s">
        <v>50</v>
      </c>
      <c r="R5" s="2" t="s">
        <v>51</v>
      </c>
      <c r="S5" s="2" t="s">
        <v>52</v>
      </c>
      <c r="T5" s="2" t="s">
        <v>53</v>
      </c>
      <c r="U5" s="2" t="s">
        <v>54</v>
      </c>
      <c r="V5" s="2" t="s">
        <v>63</v>
      </c>
    </row>
    <row r="6" spans="1:22" ht="16" customHeight="1" x14ac:dyDescent="0.35">
      <c r="A6">
        <v>5</v>
      </c>
      <c r="B6" s="44">
        <v>4</v>
      </c>
      <c r="C6" s="44">
        <v>3</v>
      </c>
      <c r="D6" s="44">
        <v>2</v>
      </c>
      <c r="E6" s="44">
        <v>5</v>
      </c>
      <c r="F6" s="44">
        <v>4</v>
      </c>
      <c r="G6" s="44">
        <v>3</v>
      </c>
      <c r="H6" s="44">
        <v>4</v>
      </c>
      <c r="I6" s="44">
        <v>4</v>
      </c>
      <c r="J6" s="44">
        <v>2</v>
      </c>
      <c r="K6" s="44">
        <v>3</v>
      </c>
      <c r="L6" s="44">
        <v>2</v>
      </c>
      <c r="M6" s="44">
        <v>6</v>
      </c>
      <c r="N6" s="19"/>
      <c r="O6" s="2" t="s">
        <v>48</v>
      </c>
      <c r="P6" s="2" t="s">
        <v>59</v>
      </c>
      <c r="Q6" s="2" t="s">
        <v>50</v>
      </c>
      <c r="R6" s="2" t="s">
        <v>51</v>
      </c>
      <c r="S6" s="2" t="s">
        <v>52</v>
      </c>
      <c r="T6" s="2" t="s">
        <v>53</v>
      </c>
      <c r="U6" s="2" t="s">
        <v>54</v>
      </c>
      <c r="V6" s="2" t="s">
        <v>75</v>
      </c>
    </row>
    <row r="7" spans="1:22" ht="16" customHeight="1" x14ac:dyDescent="0.35">
      <c r="A7">
        <v>6</v>
      </c>
      <c r="B7" s="44">
        <v>5</v>
      </c>
      <c r="C7" s="44">
        <v>3</v>
      </c>
      <c r="D7" s="44">
        <v>2</v>
      </c>
      <c r="E7" s="44">
        <v>6</v>
      </c>
      <c r="F7" s="44">
        <v>5</v>
      </c>
      <c r="G7" s="44">
        <v>3</v>
      </c>
      <c r="H7" s="44">
        <v>4</v>
      </c>
      <c r="I7" s="44">
        <v>5</v>
      </c>
      <c r="J7" s="44">
        <v>1</v>
      </c>
      <c r="K7" s="44">
        <v>3</v>
      </c>
      <c r="L7" s="44">
        <v>2</v>
      </c>
      <c r="M7" s="44">
        <v>6</v>
      </c>
      <c r="N7" s="19"/>
      <c r="O7" s="2" t="s">
        <v>58</v>
      </c>
      <c r="P7" s="2" t="s">
        <v>59</v>
      </c>
      <c r="Q7" s="2" t="s">
        <v>50</v>
      </c>
      <c r="R7" s="2" t="s">
        <v>66</v>
      </c>
      <c r="S7" s="2" t="s">
        <v>67</v>
      </c>
      <c r="T7" s="2" t="s">
        <v>53</v>
      </c>
      <c r="U7" s="2" t="s">
        <v>54</v>
      </c>
      <c r="V7" s="2" t="s">
        <v>77</v>
      </c>
    </row>
    <row r="8" spans="1:22" ht="16" customHeight="1" x14ac:dyDescent="0.35">
      <c r="A8">
        <v>7</v>
      </c>
      <c r="B8" s="44">
        <v>5</v>
      </c>
      <c r="C8" s="44">
        <v>2</v>
      </c>
      <c r="D8" s="44">
        <v>3</v>
      </c>
      <c r="E8" s="44">
        <v>6</v>
      </c>
      <c r="F8" s="44">
        <v>4</v>
      </c>
      <c r="G8" s="44">
        <v>2</v>
      </c>
      <c r="H8" s="44">
        <v>3</v>
      </c>
      <c r="I8" s="44">
        <v>5</v>
      </c>
      <c r="J8" s="44">
        <v>2</v>
      </c>
      <c r="K8" s="44">
        <v>2</v>
      </c>
      <c r="L8" s="44">
        <v>1</v>
      </c>
      <c r="M8" s="44">
        <v>5</v>
      </c>
      <c r="N8" s="19"/>
      <c r="O8" s="2" t="s">
        <v>48</v>
      </c>
      <c r="P8" s="2" t="s">
        <v>80</v>
      </c>
      <c r="Q8" s="2" t="s">
        <v>81</v>
      </c>
      <c r="R8" s="2" t="s">
        <v>66</v>
      </c>
      <c r="S8" s="2" t="s">
        <v>67</v>
      </c>
      <c r="T8" s="2" t="s">
        <v>53</v>
      </c>
      <c r="U8" s="2" t="s">
        <v>54</v>
      </c>
      <c r="V8" s="2" t="s">
        <v>71</v>
      </c>
    </row>
    <row r="9" spans="1:22" ht="16" customHeight="1" x14ac:dyDescent="0.35">
      <c r="A9">
        <v>8</v>
      </c>
      <c r="B9" s="44">
        <v>5</v>
      </c>
      <c r="C9" s="44">
        <v>3</v>
      </c>
      <c r="D9" s="44">
        <v>3</v>
      </c>
      <c r="E9" s="44">
        <v>6</v>
      </c>
      <c r="F9" s="44">
        <v>4</v>
      </c>
      <c r="G9" s="44">
        <v>3</v>
      </c>
      <c r="H9" s="44">
        <v>4</v>
      </c>
      <c r="I9" s="44">
        <v>4</v>
      </c>
      <c r="J9" s="44">
        <v>1</v>
      </c>
      <c r="K9" s="44">
        <v>3</v>
      </c>
      <c r="L9" s="44">
        <v>2</v>
      </c>
      <c r="M9" s="44">
        <v>6</v>
      </c>
      <c r="N9" s="19"/>
      <c r="O9" s="2" t="s">
        <v>88</v>
      </c>
      <c r="P9" s="2" t="s">
        <v>49</v>
      </c>
      <c r="Q9" s="2" t="s">
        <v>50</v>
      </c>
      <c r="R9" s="2" t="s">
        <v>51</v>
      </c>
      <c r="S9" s="2" t="s">
        <v>52</v>
      </c>
      <c r="T9" s="2" t="s">
        <v>53</v>
      </c>
      <c r="U9" s="2" t="s">
        <v>89</v>
      </c>
      <c r="V9" s="2" t="s">
        <v>61</v>
      </c>
    </row>
    <row r="10" spans="1:22" ht="16" customHeight="1" x14ac:dyDescent="0.35">
      <c r="A10">
        <v>9</v>
      </c>
      <c r="B10" s="44">
        <v>5</v>
      </c>
      <c r="C10" s="44">
        <v>3</v>
      </c>
      <c r="D10" s="44">
        <v>2</v>
      </c>
      <c r="E10" s="44">
        <v>6</v>
      </c>
      <c r="F10" s="44">
        <v>4</v>
      </c>
      <c r="G10" s="44">
        <v>3</v>
      </c>
      <c r="H10" s="44">
        <v>4</v>
      </c>
      <c r="I10" s="44">
        <v>5</v>
      </c>
      <c r="J10" s="44">
        <v>2</v>
      </c>
      <c r="K10" s="44">
        <v>2</v>
      </c>
      <c r="L10" s="44">
        <v>2</v>
      </c>
      <c r="M10" s="44">
        <v>6</v>
      </c>
      <c r="N10" s="19"/>
      <c r="O10" s="2" t="s">
        <v>48</v>
      </c>
      <c r="P10" s="2" t="s">
        <v>49</v>
      </c>
      <c r="Q10" s="2" t="s">
        <v>50</v>
      </c>
      <c r="R10" s="2" t="s">
        <v>51</v>
      </c>
      <c r="S10" s="2" t="s">
        <v>52</v>
      </c>
      <c r="T10" s="2" t="s">
        <v>84</v>
      </c>
      <c r="U10" s="2" t="s">
        <v>54</v>
      </c>
      <c r="V10" s="2" t="s">
        <v>85</v>
      </c>
    </row>
    <row r="11" spans="1:22" ht="16" customHeight="1" x14ac:dyDescent="0.35">
      <c r="A11">
        <v>10</v>
      </c>
      <c r="B11" s="44">
        <v>5</v>
      </c>
      <c r="C11" s="44">
        <v>3</v>
      </c>
      <c r="D11" s="44">
        <v>2</v>
      </c>
      <c r="E11" s="44">
        <v>6</v>
      </c>
      <c r="F11" s="44">
        <v>5</v>
      </c>
      <c r="G11" s="44">
        <v>2</v>
      </c>
      <c r="H11" s="44">
        <v>3</v>
      </c>
      <c r="I11" s="44">
        <v>5</v>
      </c>
      <c r="J11" s="44">
        <v>1</v>
      </c>
      <c r="K11" s="44">
        <v>3</v>
      </c>
      <c r="L11" s="44">
        <v>1</v>
      </c>
      <c r="M11" s="44">
        <v>6</v>
      </c>
      <c r="N11" s="19"/>
      <c r="O11" s="2" t="s">
        <v>58</v>
      </c>
      <c r="P11" s="2" t="s">
        <v>59</v>
      </c>
      <c r="Q11" s="2" t="s">
        <v>50</v>
      </c>
      <c r="R11" s="2" t="s">
        <v>51</v>
      </c>
      <c r="S11" s="2" t="s">
        <v>52</v>
      </c>
      <c r="T11" s="2" t="s">
        <v>53</v>
      </c>
      <c r="U11" s="2" t="s">
        <v>54</v>
      </c>
      <c r="V11" s="2" t="s">
        <v>85</v>
      </c>
    </row>
    <row r="12" spans="1:22" ht="16" customHeight="1" x14ac:dyDescent="0.35">
      <c r="A12">
        <v>11</v>
      </c>
      <c r="B12" s="44">
        <v>4</v>
      </c>
      <c r="C12" s="44">
        <v>2</v>
      </c>
      <c r="D12" s="44">
        <v>3</v>
      </c>
      <c r="E12" s="44">
        <v>6</v>
      </c>
      <c r="F12" s="44">
        <v>4</v>
      </c>
      <c r="G12" s="44">
        <v>2</v>
      </c>
      <c r="H12" s="44">
        <v>4</v>
      </c>
      <c r="I12" s="44">
        <v>5</v>
      </c>
      <c r="J12" s="44">
        <v>2</v>
      </c>
      <c r="K12" s="44">
        <v>3</v>
      </c>
      <c r="L12" s="44">
        <v>1</v>
      </c>
      <c r="M12" s="44">
        <v>5</v>
      </c>
      <c r="N12" s="19"/>
      <c r="O12" s="2" t="s">
        <v>94</v>
      </c>
      <c r="P12" s="2" t="s">
        <v>49</v>
      </c>
      <c r="Q12" s="2" t="s">
        <v>50</v>
      </c>
      <c r="R12" s="2" t="s">
        <v>51</v>
      </c>
      <c r="S12" s="2" t="s">
        <v>52</v>
      </c>
      <c r="T12" s="2" t="s">
        <v>60</v>
      </c>
      <c r="U12" s="2" t="s">
        <v>95</v>
      </c>
      <c r="V12" s="2" t="s">
        <v>68</v>
      </c>
    </row>
    <row r="13" spans="1:22" ht="16" customHeight="1" x14ac:dyDescent="0.35">
      <c r="A13">
        <v>12</v>
      </c>
      <c r="B13" s="44">
        <v>5</v>
      </c>
      <c r="C13" s="44">
        <v>3</v>
      </c>
      <c r="D13" s="44">
        <v>2</v>
      </c>
      <c r="E13" s="44">
        <v>6</v>
      </c>
      <c r="F13" s="44">
        <v>4</v>
      </c>
      <c r="G13" s="44">
        <v>3</v>
      </c>
      <c r="H13" s="44">
        <v>4</v>
      </c>
      <c r="I13" s="44">
        <v>4</v>
      </c>
      <c r="J13" s="44">
        <v>1</v>
      </c>
      <c r="K13" s="44">
        <v>3</v>
      </c>
      <c r="L13" s="44">
        <v>1</v>
      </c>
      <c r="M13" s="44">
        <v>6</v>
      </c>
      <c r="N13" s="19"/>
      <c r="O13" s="2" t="s">
        <v>94</v>
      </c>
      <c r="P13" s="2" t="s">
        <v>59</v>
      </c>
      <c r="Q13" s="2" t="s">
        <v>50</v>
      </c>
      <c r="R13" s="2" t="s">
        <v>51</v>
      </c>
      <c r="S13" s="2" t="s">
        <v>52</v>
      </c>
      <c r="T13" s="2" t="s">
        <v>60</v>
      </c>
      <c r="U13" s="2" t="s">
        <v>95</v>
      </c>
      <c r="V13" s="2" t="s">
        <v>98</v>
      </c>
    </row>
    <row r="14" spans="1:22" ht="16" customHeight="1" x14ac:dyDescent="0.35">
      <c r="A14">
        <v>13</v>
      </c>
      <c r="B14" s="44">
        <v>4</v>
      </c>
      <c r="C14" s="44">
        <v>2</v>
      </c>
      <c r="D14" s="44">
        <v>3</v>
      </c>
      <c r="E14" s="44">
        <v>5</v>
      </c>
      <c r="F14" s="44">
        <v>4</v>
      </c>
      <c r="G14" s="44">
        <v>3</v>
      </c>
      <c r="H14" s="44">
        <v>3</v>
      </c>
      <c r="I14" s="44">
        <v>4</v>
      </c>
      <c r="J14" s="44">
        <v>1</v>
      </c>
      <c r="K14" s="44">
        <v>2</v>
      </c>
      <c r="L14" s="44">
        <v>2</v>
      </c>
      <c r="M14" s="44">
        <v>6</v>
      </c>
      <c r="N14" s="19"/>
      <c r="O14" s="2" t="s">
        <v>88</v>
      </c>
      <c r="P14" s="2" t="s">
        <v>49</v>
      </c>
      <c r="Q14" s="2" t="s">
        <v>50</v>
      </c>
      <c r="R14" s="2" t="s">
        <v>51</v>
      </c>
      <c r="S14" s="2" t="s">
        <v>52</v>
      </c>
      <c r="T14" s="2" t="s">
        <v>53</v>
      </c>
      <c r="U14" s="2" t="s">
        <v>89</v>
      </c>
      <c r="V14" s="2" t="s">
        <v>71</v>
      </c>
    </row>
    <row r="15" spans="1:22" ht="16" customHeight="1" x14ac:dyDescent="0.35">
      <c r="A15">
        <v>14</v>
      </c>
      <c r="B15" s="44">
        <v>5</v>
      </c>
      <c r="C15" s="44">
        <v>2</v>
      </c>
      <c r="D15" s="44">
        <v>3</v>
      </c>
      <c r="E15" s="44">
        <v>6</v>
      </c>
      <c r="F15" s="44">
        <v>4</v>
      </c>
      <c r="G15" s="44">
        <v>3</v>
      </c>
      <c r="H15" s="44">
        <v>4</v>
      </c>
      <c r="I15" s="44">
        <v>5</v>
      </c>
      <c r="J15" s="44">
        <v>2</v>
      </c>
      <c r="K15" s="44">
        <v>3</v>
      </c>
      <c r="L15" s="44">
        <v>1</v>
      </c>
      <c r="M15" s="44">
        <v>5</v>
      </c>
      <c r="N15" s="19"/>
      <c r="O15" s="2" t="s">
        <v>88</v>
      </c>
      <c r="P15" s="2" t="s">
        <v>59</v>
      </c>
      <c r="Q15" s="2" t="s">
        <v>50</v>
      </c>
      <c r="R15" s="2" t="s">
        <v>66</v>
      </c>
      <c r="S15" s="2" t="s">
        <v>52</v>
      </c>
      <c r="T15" s="2" t="s">
        <v>60</v>
      </c>
      <c r="U15" s="2" t="s">
        <v>95</v>
      </c>
      <c r="V15" s="2" t="s">
        <v>68</v>
      </c>
    </row>
    <row r="16" spans="1:22" ht="16" customHeight="1" x14ac:dyDescent="0.35">
      <c r="A16">
        <v>15</v>
      </c>
      <c r="B16" s="44">
        <v>4</v>
      </c>
      <c r="C16" s="44">
        <v>3</v>
      </c>
      <c r="D16" s="44">
        <v>2</v>
      </c>
      <c r="E16" s="44">
        <v>5</v>
      </c>
      <c r="F16" s="44">
        <v>4</v>
      </c>
      <c r="G16" s="44">
        <v>3</v>
      </c>
      <c r="H16" s="44">
        <v>3</v>
      </c>
      <c r="I16" s="44">
        <v>4</v>
      </c>
      <c r="J16" s="44">
        <v>2</v>
      </c>
      <c r="K16" s="44">
        <v>3</v>
      </c>
      <c r="L16" s="44">
        <v>2</v>
      </c>
      <c r="M16" s="44">
        <v>6</v>
      </c>
      <c r="N16" s="19"/>
      <c r="O16" s="2" t="s">
        <v>58</v>
      </c>
      <c r="P16" s="2" t="s">
        <v>49</v>
      </c>
      <c r="Q16" s="2" t="s">
        <v>50</v>
      </c>
      <c r="R16" s="2" t="s">
        <v>51</v>
      </c>
      <c r="S16" s="2" t="s">
        <v>52</v>
      </c>
      <c r="T16" s="2" t="s">
        <v>60</v>
      </c>
      <c r="U16" s="2" t="s">
        <v>89</v>
      </c>
      <c r="V16" s="2" t="s">
        <v>71</v>
      </c>
    </row>
    <row r="17" spans="1:22" ht="16" customHeight="1" x14ac:dyDescent="0.35">
      <c r="A17">
        <v>16</v>
      </c>
      <c r="B17" s="44">
        <v>5</v>
      </c>
      <c r="C17" s="44">
        <v>3</v>
      </c>
      <c r="D17" s="44">
        <v>3</v>
      </c>
      <c r="E17" s="44">
        <v>6</v>
      </c>
      <c r="F17" s="44">
        <v>5</v>
      </c>
      <c r="G17" s="44">
        <v>2</v>
      </c>
      <c r="H17" s="44">
        <v>3</v>
      </c>
      <c r="I17" s="44">
        <v>5</v>
      </c>
      <c r="J17" s="44">
        <v>2</v>
      </c>
      <c r="K17" s="44">
        <v>3</v>
      </c>
      <c r="L17" s="44">
        <v>1</v>
      </c>
      <c r="M17" s="44">
        <v>6</v>
      </c>
      <c r="N17" s="19"/>
      <c r="O17" s="2" t="s">
        <v>94</v>
      </c>
      <c r="P17" s="2" t="s">
        <v>59</v>
      </c>
      <c r="Q17" s="2" t="s">
        <v>50</v>
      </c>
      <c r="R17" s="2" t="s">
        <v>51</v>
      </c>
      <c r="S17" s="2" t="s">
        <v>52</v>
      </c>
      <c r="T17" s="2" t="s">
        <v>53</v>
      </c>
      <c r="U17" s="2" t="s">
        <v>89</v>
      </c>
      <c r="V17" s="2" t="s">
        <v>71</v>
      </c>
    </row>
    <row r="18" spans="1:22" ht="16" customHeight="1" x14ac:dyDescent="0.35">
      <c r="A18">
        <v>17</v>
      </c>
      <c r="B18" s="44">
        <v>4</v>
      </c>
      <c r="C18" s="44">
        <v>2</v>
      </c>
      <c r="D18" s="44">
        <v>3</v>
      </c>
      <c r="E18" s="44">
        <v>5</v>
      </c>
      <c r="F18" s="44">
        <v>4</v>
      </c>
      <c r="G18" s="44">
        <v>3</v>
      </c>
      <c r="H18" s="44">
        <v>4</v>
      </c>
      <c r="I18" s="44">
        <v>4</v>
      </c>
      <c r="J18" s="44">
        <v>2</v>
      </c>
      <c r="K18" s="44">
        <v>2</v>
      </c>
      <c r="L18" s="44">
        <v>2</v>
      </c>
      <c r="M18" s="44">
        <v>6</v>
      </c>
      <c r="N18" s="19"/>
      <c r="O18" s="2" t="s">
        <v>88</v>
      </c>
      <c r="P18" s="2" t="s">
        <v>49</v>
      </c>
      <c r="Q18" s="2" t="s">
        <v>50</v>
      </c>
      <c r="R18" s="2" t="s">
        <v>51</v>
      </c>
      <c r="S18" s="2" t="s">
        <v>52</v>
      </c>
      <c r="T18" s="2" t="s">
        <v>53</v>
      </c>
      <c r="U18" s="2" t="s">
        <v>54</v>
      </c>
      <c r="V18" s="2" t="s">
        <v>68</v>
      </c>
    </row>
    <row r="19" spans="1:22" ht="16" customHeight="1" x14ac:dyDescent="0.35">
      <c r="A19">
        <v>18</v>
      </c>
      <c r="B19" s="44">
        <v>5</v>
      </c>
      <c r="C19" s="44">
        <v>3</v>
      </c>
      <c r="D19" s="44">
        <v>3</v>
      </c>
      <c r="E19" s="44">
        <v>6</v>
      </c>
      <c r="F19" s="44">
        <v>5</v>
      </c>
      <c r="G19" s="44">
        <v>3</v>
      </c>
      <c r="H19" s="44">
        <v>4</v>
      </c>
      <c r="I19" s="44">
        <v>5</v>
      </c>
      <c r="J19" s="44">
        <v>1</v>
      </c>
      <c r="K19" s="44">
        <v>3</v>
      </c>
      <c r="L19" s="44">
        <v>2</v>
      </c>
      <c r="M19" s="44">
        <v>6</v>
      </c>
      <c r="N19" s="19"/>
      <c r="O19" s="2" t="s">
        <v>88</v>
      </c>
      <c r="P19" s="2" t="s">
        <v>59</v>
      </c>
      <c r="Q19" s="2" t="s">
        <v>50</v>
      </c>
      <c r="R19" s="2" t="s">
        <v>51</v>
      </c>
      <c r="S19" s="2" t="s">
        <v>52</v>
      </c>
      <c r="T19" s="2" t="s">
        <v>53</v>
      </c>
      <c r="U19" s="2" t="s">
        <v>54</v>
      </c>
      <c r="V19" s="2" t="s">
        <v>61</v>
      </c>
    </row>
    <row r="20" spans="1:22" ht="16" customHeight="1" x14ac:dyDescent="0.35">
      <c r="A20">
        <v>19</v>
      </c>
      <c r="B20" s="44">
        <v>4</v>
      </c>
      <c r="C20" s="44">
        <v>2</v>
      </c>
      <c r="D20" s="44">
        <v>3</v>
      </c>
      <c r="E20" s="44">
        <v>6</v>
      </c>
      <c r="F20" s="44">
        <v>4</v>
      </c>
      <c r="G20" s="44">
        <v>3</v>
      </c>
      <c r="H20" s="44">
        <v>3</v>
      </c>
      <c r="I20" s="44">
        <v>4</v>
      </c>
      <c r="J20" s="44">
        <v>1</v>
      </c>
      <c r="K20" s="44">
        <v>2</v>
      </c>
      <c r="L20" s="44">
        <v>1</v>
      </c>
      <c r="M20" s="44">
        <v>5</v>
      </c>
      <c r="N20" s="19"/>
      <c r="O20" s="2" t="s">
        <v>94</v>
      </c>
      <c r="P20" s="2" t="s">
        <v>59</v>
      </c>
      <c r="Q20" s="2" t="s">
        <v>50</v>
      </c>
      <c r="R20" s="2" t="s">
        <v>51</v>
      </c>
      <c r="S20" s="2" t="s">
        <v>52</v>
      </c>
      <c r="T20" s="2" t="s">
        <v>60</v>
      </c>
      <c r="U20" s="2" t="s">
        <v>89</v>
      </c>
      <c r="V20" s="2" t="s">
        <v>71</v>
      </c>
    </row>
    <row r="21" spans="1:22" ht="16" customHeight="1" x14ac:dyDescent="0.35">
      <c r="A21">
        <v>20</v>
      </c>
      <c r="B21" s="44">
        <v>5</v>
      </c>
      <c r="C21" s="44">
        <v>3</v>
      </c>
      <c r="D21" s="44">
        <v>3</v>
      </c>
      <c r="E21" s="44">
        <v>6</v>
      </c>
      <c r="F21" s="44">
        <v>5</v>
      </c>
      <c r="G21" s="44">
        <v>3</v>
      </c>
      <c r="H21" s="44">
        <v>4</v>
      </c>
      <c r="I21" s="44">
        <v>4</v>
      </c>
      <c r="J21" s="44">
        <v>2</v>
      </c>
      <c r="K21" s="44">
        <v>3</v>
      </c>
      <c r="L21" s="44">
        <v>1</v>
      </c>
      <c r="M21" s="44">
        <v>6</v>
      </c>
      <c r="N21" s="19"/>
      <c r="O21" s="2" t="s">
        <v>58</v>
      </c>
      <c r="P21" s="2" t="s">
        <v>49</v>
      </c>
      <c r="Q21" s="2" t="s">
        <v>50</v>
      </c>
      <c r="R21" s="2" t="s">
        <v>51</v>
      </c>
      <c r="S21" s="2" t="s">
        <v>52</v>
      </c>
      <c r="T21" s="2" t="s">
        <v>60</v>
      </c>
      <c r="U21" s="2" t="s">
        <v>89</v>
      </c>
      <c r="V21" s="2" t="s">
        <v>68</v>
      </c>
    </row>
    <row r="22" spans="1:22" ht="16" customHeight="1" x14ac:dyDescent="0.35">
      <c r="A22">
        <v>21</v>
      </c>
      <c r="B22" s="44">
        <v>6</v>
      </c>
      <c r="C22" s="44">
        <v>3</v>
      </c>
      <c r="D22" s="44">
        <v>4</v>
      </c>
      <c r="E22" s="44">
        <v>7</v>
      </c>
      <c r="F22" s="44">
        <v>5</v>
      </c>
      <c r="G22" s="44">
        <v>3</v>
      </c>
      <c r="H22" s="44">
        <v>4</v>
      </c>
      <c r="I22" s="44">
        <v>5</v>
      </c>
      <c r="J22" s="44">
        <v>2</v>
      </c>
      <c r="K22" s="44">
        <v>4</v>
      </c>
      <c r="L22" s="44">
        <v>3</v>
      </c>
      <c r="M22" s="44">
        <v>6</v>
      </c>
      <c r="N22" s="19"/>
      <c r="O22" s="2" t="s">
        <v>48</v>
      </c>
      <c r="P22" s="2" t="s">
        <v>49</v>
      </c>
      <c r="Q22" s="2" t="s">
        <v>50</v>
      </c>
      <c r="R22" s="2" t="s">
        <v>66</v>
      </c>
      <c r="S22" s="2" t="s">
        <v>67</v>
      </c>
      <c r="T22" s="2" t="s">
        <v>53</v>
      </c>
      <c r="U22" s="2" t="s">
        <v>54</v>
      </c>
      <c r="V22" s="2" t="s">
        <v>98</v>
      </c>
    </row>
    <row r="23" spans="1:22" ht="16" customHeight="1" x14ac:dyDescent="0.35">
      <c r="A23">
        <v>22</v>
      </c>
      <c r="B23" s="44">
        <v>5</v>
      </c>
      <c r="C23" s="44">
        <v>3</v>
      </c>
      <c r="D23" s="44">
        <v>4</v>
      </c>
      <c r="E23" s="44">
        <v>6</v>
      </c>
      <c r="F23" s="44">
        <v>5</v>
      </c>
      <c r="G23" s="44">
        <v>3</v>
      </c>
      <c r="H23" s="44">
        <v>4</v>
      </c>
      <c r="I23" s="44">
        <v>4</v>
      </c>
      <c r="J23" s="44">
        <v>3</v>
      </c>
      <c r="K23" s="44">
        <v>4</v>
      </c>
      <c r="L23" s="44">
        <v>2</v>
      </c>
      <c r="M23" s="44">
        <v>7</v>
      </c>
      <c r="N23" s="19"/>
      <c r="O23" s="2" t="s">
        <v>48</v>
      </c>
      <c r="P23" s="2" t="s">
        <v>80</v>
      </c>
      <c r="Q23" s="2" t="s">
        <v>50</v>
      </c>
      <c r="R23" s="2" t="s">
        <v>66</v>
      </c>
      <c r="S23" s="2" t="s">
        <v>67</v>
      </c>
      <c r="T23" s="2" t="s">
        <v>53</v>
      </c>
      <c r="U23" s="2" t="s">
        <v>54</v>
      </c>
      <c r="V23" s="2" t="s">
        <v>75</v>
      </c>
    </row>
    <row r="24" spans="1:22" ht="16" customHeight="1" x14ac:dyDescent="0.35">
      <c r="A24">
        <v>23</v>
      </c>
      <c r="B24" s="44">
        <v>6</v>
      </c>
      <c r="C24" s="44">
        <v>4</v>
      </c>
      <c r="D24" s="44">
        <v>3</v>
      </c>
      <c r="E24" s="44">
        <v>7</v>
      </c>
      <c r="F24" s="44">
        <v>5</v>
      </c>
      <c r="G24" s="44">
        <v>3</v>
      </c>
      <c r="H24" s="44">
        <v>5</v>
      </c>
      <c r="I24" s="44">
        <v>5</v>
      </c>
      <c r="J24" s="44">
        <v>3</v>
      </c>
      <c r="K24" s="44">
        <v>4</v>
      </c>
      <c r="L24" s="44">
        <v>2</v>
      </c>
      <c r="M24" s="44">
        <v>6</v>
      </c>
      <c r="N24" s="19"/>
      <c r="O24" s="2" t="s">
        <v>48</v>
      </c>
      <c r="P24" s="2" t="s">
        <v>59</v>
      </c>
      <c r="Q24" s="2" t="s">
        <v>50</v>
      </c>
      <c r="R24" s="2" t="s">
        <v>66</v>
      </c>
      <c r="S24" s="2" t="s">
        <v>52</v>
      </c>
      <c r="T24" s="2" t="s">
        <v>53</v>
      </c>
      <c r="U24" s="2" t="s">
        <v>54</v>
      </c>
      <c r="V24" s="2" t="s">
        <v>71</v>
      </c>
    </row>
    <row r="25" spans="1:22" ht="16" customHeight="1" x14ac:dyDescent="0.35">
      <c r="A25">
        <v>24</v>
      </c>
      <c r="B25" s="44">
        <v>5</v>
      </c>
      <c r="C25" s="44">
        <v>3</v>
      </c>
      <c r="D25" s="44">
        <v>3</v>
      </c>
      <c r="E25" s="44">
        <v>6</v>
      </c>
      <c r="F25" s="44">
        <v>4</v>
      </c>
      <c r="G25" s="44">
        <v>3</v>
      </c>
      <c r="H25" s="44">
        <v>4</v>
      </c>
      <c r="I25" s="44">
        <v>5</v>
      </c>
      <c r="J25" s="44">
        <v>2</v>
      </c>
      <c r="K25" s="44">
        <v>4</v>
      </c>
      <c r="L25" s="44">
        <v>3</v>
      </c>
      <c r="M25" s="44">
        <v>6</v>
      </c>
      <c r="N25" s="19"/>
      <c r="O25" s="2" t="s">
        <v>88</v>
      </c>
      <c r="P25" s="2" t="s">
        <v>59</v>
      </c>
      <c r="Q25" s="2" t="s">
        <v>50</v>
      </c>
      <c r="R25" s="2" t="s">
        <v>127</v>
      </c>
      <c r="S25" s="2" t="s">
        <v>52</v>
      </c>
      <c r="T25" s="2" t="s">
        <v>53</v>
      </c>
      <c r="U25" s="2" t="s">
        <v>89</v>
      </c>
      <c r="V25" s="2" t="s">
        <v>128</v>
      </c>
    </row>
    <row r="26" spans="1:22" ht="16" customHeight="1" x14ac:dyDescent="0.35">
      <c r="A26">
        <v>25</v>
      </c>
      <c r="B26" s="44">
        <v>6</v>
      </c>
      <c r="C26" s="44">
        <v>3</v>
      </c>
      <c r="D26" s="44">
        <v>4</v>
      </c>
      <c r="E26" s="44">
        <v>7</v>
      </c>
      <c r="F26" s="44">
        <v>5</v>
      </c>
      <c r="G26" s="44">
        <v>3</v>
      </c>
      <c r="H26" s="44">
        <v>4</v>
      </c>
      <c r="I26" s="44">
        <v>5</v>
      </c>
      <c r="J26" s="44">
        <v>2</v>
      </c>
      <c r="K26" s="44">
        <v>4</v>
      </c>
      <c r="L26" s="44">
        <v>2</v>
      </c>
      <c r="M26" s="44">
        <v>6</v>
      </c>
      <c r="N26" s="19"/>
      <c r="O26" s="2" t="s">
        <v>88</v>
      </c>
      <c r="P26" s="2" t="s">
        <v>49</v>
      </c>
      <c r="Q26" s="2" t="s">
        <v>81</v>
      </c>
      <c r="R26" s="2" t="s">
        <v>51</v>
      </c>
      <c r="S26" s="2" t="s">
        <v>52</v>
      </c>
      <c r="T26" s="2" t="s">
        <v>60</v>
      </c>
      <c r="U26" s="2" t="s">
        <v>54</v>
      </c>
      <c r="V26" s="2" t="s">
        <v>68</v>
      </c>
    </row>
    <row r="27" spans="1:22" ht="16" customHeight="1" x14ac:dyDescent="0.35">
      <c r="A27">
        <v>26</v>
      </c>
      <c r="B27" s="44">
        <v>5</v>
      </c>
      <c r="C27" s="44">
        <v>4</v>
      </c>
      <c r="D27" s="44">
        <v>3</v>
      </c>
      <c r="E27" s="44">
        <v>6</v>
      </c>
      <c r="F27" s="44">
        <v>5</v>
      </c>
      <c r="G27" s="44">
        <v>3</v>
      </c>
      <c r="H27" s="44">
        <v>5</v>
      </c>
      <c r="I27" s="44">
        <v>5</v>
      </c>
      <c r="J27" s="44">
        <v>2</v>
      </c>
      <c r="K27" s="44">
        <v>4</v>
      </c>
      <c r="L27" s="44">
        <v>3</v>
      </c>
      <c r="M27" s="44">
        <v>7</v>
      </c>
      <c r="N27" s="19"/>
      <c r="O27" s="2" t="s">
        <v>94</v>
      </c>
      <c r="P27" s="2" t="s">
        <v>59</v>
      </c>
      <c r="Q27" s="2" t="s">
        <v>81</v>
      </c>
      <c r="R27" s="2" t="s">
        <v>51</v>
      </c>
      <c r="S27" s="2" t="s">
        <v>52</v>
      </c>
      <c r="T27" s="2" t="s">
        <v>60</v>
      </c>
      <c r="U27" s="2" t="s">
        <v>95</v>
      </c>
      <c r="V27" s="2" t="s">
        <v>68</v>
      </c>
    </row>
    <row r="28" spans="1:22" ht="16" customHeight="1" x14ac:dyDescent="0.35">
      <c r="A28">
        <v>27</v>
      </c>
      <c r="B28" s="44">
        <v>6</v>
      </c>
      <c r="C28" s="44">
        <v>3</v>
      </c>
      <c r="D28" s="44">
        <v>4</v>
      </c>
      <c r="E28" s="44">
        <v>7</v>
      </c>
      <c r="F28" s="44">
        <v>5</v>
      </c>
      <c r="G28" s="44">
        <v>3</v>
      </c>
      <c r="H28" s="44">
        <v>4</v>
      </c>
      <c r="I28" s="44">
        <v>5</v>
      </c>
      <c r="J28" s="44">
        <v>2</v>
      </c>
      <c r="K28" s="44">
        <v>4</v>
      </c>
      <c r="L28" s="44">
        <v>2</v>
      </c>
      <c r="M28" s="44">
        <v>6</v>
      </c>
      <c r="N28" s="19"/>
      <c r="O28" s="2" t="s">
        <v>39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</row>
    <row r="29" spans="1:22" ht="16" customHeight="1" x14ac:dyDescent="0.35">
      <c r="A29">
        <v>28</v>
      </c>
      <c r="B29" s="44">
        <v>5</v>
      </c>
      <c r="C29" s="44">
        <v>3</v>
      </c>
      <c r="D29" s="44">
        <v>4</v>
      </c>
      <c r="E29" s="44">
        <v>6</v>
      </c>
      <c r="F29" s="44">
        <v>4</v>
      </c>
      <c r="G29" s="44">
        <v>3</v>
      </c>
      <c r="H29" s="44">
        <v>4</v>
      </c>
      <c r="I29" s="44">
        <v>5</v>
      </c>
      <c r="J29" s="44">
        <v>3</v>
      </c>
      <c r="K29" s="44">
        <v>4</v>
      </c>
      <c r="L29" s="44">
        <v>3</v>
      </c>
      <c r="M29" s="44">
        <v>7</v>
      </c>
      <c r="N29" s="19"/>
      <c r="O29" s="2" t="s">
        <v>88</v>
      </c>
      <c r="P29" s="2" t="s">
        <v>49</v>
      </c>
      <c r="Q29" s="2" t="s">
        <v>50</v>
      </c>
      <c r="R29" s="2" t="s">
        <v>51</v>
      </c>
      <c r="S29" s="2" t="s">
        <v>52</v>
      </c>
      <c r="T29" s="2" t="s">
        <v>60</v>
      </c>
      <c r="U29" s="2" t="s">
        <v>54</v>
      </c>
      <c r="V29" s="2" t="s">
        <v>68</v>
      </c>
    </row>
    <row r="30" spans="1:22" ht="16" customHeight="1" x14ac:dyDescent="0.35">
      <c r="A30">
        <v>29</v>
      </c>
      <c r="B30" s="44">
        <v>6</v>
      </c>
      <c r="C30" s="44">
        <v>3</v>
      </c>
      <c r="D30" s="44">
        <v>3</v>
      </c>
      <c r="E30" s="44">
        <v>7</v>
      </c>
      <c r="F30" s="44">
        <v>5</v>
      </c>
      <c r="G30" s="44">
        <v>3</v>
      </c>
      <c r="H30" s="44">
        <v>4</v>
      </c>
      <c r="I30" s="44">
        <v>5</v>
      </c>
      <c r="J30" s="44">
        <v>2</v>
      </c>
      <c r="K30" s="44">
        <v>3</v>
      </c>
      <c r="L30" s="44">
        <v>2</v>
      </c>
      <c r="M30" s="44">
        <v>6</v>
      </c>
      <c r="N30" s="19"/>
      <c r="O30" s="2" t="s">
        <v>88</v>
      </c>
      <c r="P30" s="2" t="s">
        <v>59</v>
      </c>
      <c r="Q30" s="2" t="s">
        <v>81</v>
      </c>
      <c r="R30" s="2" t="s">
        <v>51</v>
      </c>
      <c r="S30" s="2" t="s">
        <v>52</v>
      </c>
      <c r="T30" s="2" t="s">
        <v>53</v>
      </c>
      <c r="U30" s="2" t="s">
        <v>89</v>
      </c>
      <c r="V30" s="2" t="s">
        <v>98</v>
      </c>
    </row>
    <row r="31" spans="1:22" ht="16" customHeight="1" x14ac:dyDescent="0.35">
      <c r="A31">
        <v>30</v>
      </c>
      <c r="B31" s="44">
        <v>5</v>
      </c>
      <c r="C31" s="44">
        <v>3</v>
      </c>
      <c r="D31" s="44">
        <v>4</v>
      </c>
      <c r="E31" s="44">
        <v>6</v>
      </c>
      <c r="F31" s="44">
        <v>5</v>
      </c>
      <c r="G31" s="44">
        <v>3</v>
      </c>
      <c r="H31" s="44">
        <v>4</v>
      </c>
      <c r="I31" s="44">
        <v>4</v>
      </c>
      <c r="J31" s="44">
        <v>3</v>
      </c>
      <c r="K31" s="44">
        <v>4</v>
      </c>
      <c r="L31" s="44">
        <v>3</v>
      </c>
      <c r="M31" s="44">
        <v>7</v>
      </c>
      <c r="N31" s="19"/>
      <c r="O31" s="2" t="s">
        <v>58</v>
      </c>
      <c r="P31" s="2" t="s">
        <v>59</v>
      </c>
      <c r="Q31" s="2" t="s">
        <v>81</v>
      </c>
      <c r="R31" s="2" t="s">
        <v>51</v>
      </c>
      <c r="S31" s="2" t="s">
        <v>52</v>
      </c>
      <c r="T31" s="2" t="s">
        <v>53</v>
      </c>
      <c r="U31" s="2" t="s">
        <v>89</v>
      </c>
      <c r="V31" s="2" t="s">
        <v>68</v>
      </c>
    </row>
    <row r="32" spans="1:22" ht="16" customHeight="1" x14ac:dyDescent="0.35">
      <c r="A32">
        <v>31</v>
      </c>
      <c r="B32" s="44">
        <v>6</v>
      </c>
      <c r="C32" s="44">
        <v>4</v>
      </c>
      <c r="D32" s="44">
        <v>3</v>
      </c>
      <c r="E32" s="44">
        <v>7</v>
      </c>
      <c r="F32" s="44">
        <v>5</v>
      </c>
      <c r="G32" s="44">
        <v>3</v>
      </c>
      <c r="H32" s="44">
        <v>5</v>
      </c>
      <c r="I32" s="44">
        <v>6</v>
      </c>
      <c r="J32" s="44">
        <v>2</v>
      </c>
      <c r="K32" s="44">
        <v>4</v>
      </c>
      <c r="L32" s="44">
        <v>3</v>
      </c>
      <c r="M32" s="44">
        <v>7</v>
      </c>
      <c r="N32" s="19"/>
      <c r="O32" s="2" t="s">
        <v>48</v>
      </c>
      <c r="P32" s="2" t="s">
        <v>49</v>
      </c>
      <c r="Q32" s="2" t="s">
        <v>50</v>
      </c>
      <c r="R32" s="2" t="s">
        <v>51</v>
      </c>
      <c r="S32" s="2" t="s">
        <v>52</v>
      </c>
      <c r="T32" s="2" t="s">
        <v>53</v>
      </c>
      <c r="U32" s="2" t="s">
        <v>54</v>
      </c>
      <c r="V32" s="2" t="s">
        <v>68</v>
      </c>
    </row>
    <row r="33" spans="1:22" ht="16" customHeight="1" x14ac:dyDescent="0.35">
      <c r="A33">
        <v>32</v>
      </c>
      <c r="B33" s="44">
        <v>5</v>
      </c>
      <c r="C33" s="44">
        <v>3</v>
      </c>
      <c r="D33" s="44">
        <v>4</v>
      </c>
      <c r="E33" s="44">
        <v>6</v>
      </c>
      <c r="F33" s="44">
        <v>5</v>
      </c>
      <c r="G33" s="44">
        <v>3</v>
      </c>
      <c r="H33" s="44">
        <v>4</v>
      </c>
      <c r="I33" s="44">
        <v>5</v>
      </c>
      <c r="J33" s="44">
        <v>3</v>
      </c>
      <c r="K33" s="44">
        <v>4</v>
      </c>
      <c r="L33" s="44">
        <v>2</v>
      </c>
      <c r="M33" s="44">
        <v>7</v>
      </c>
      <c r="N33" s="19"/>
      <c r="O33" s="2" t="s">
        <v>48</v>
      </c>
      <c r="P33" s="2" t="s">
        <v>59</v>
      </c>
      <c r="Q33" s="2" t="s">
        <v>50</v>
      </c>
      <c r="R33" s="2" t="s">
        <v>51</v>
      </c>
      <c r="S33" s="2" t="s">
        <v>52</v>
      </c>
      <c r="T33" s="2" t="s">
        <v>60</v>
      </c>
      <c r="U33" s="2" t="s">
        <v>54</v>
      </c>
      <c r="V33" s="2" t="s">
        <v>68</v>
      </c>
    </row>
    <row r="34" spans="1:22" ht="16" customHeight="1" x14ac:dyDescent="0.35">
      <c r="A34">
        <v>33</v>
      </c>
      <c r="B34" s="44">
        <v>6</v>
      </c>
      <c r="C34" s="44">
        <v>3</v>
      </c>
      <c r="D34" s="44">
        <v>3</v>
      </c>
      <c r="E34" s="44">
        <v>7</v>
      </c>
      <c r="F34" s="44">
        <v>5</v>
      </c>
      <c r="G34" s="44">
        <v>3</v>
      </c>
      <c r="H34" s="44">
        <v>4</v>
      </c>
      <c r="I34" s="44">
        <v>5</v>
      </c>
      <c r="J34" s="44">
        <v>2</v>
      </c>
      <c r="K34" s="44">
        <v>3</v>
      </c>
      <c r="L34" s="44">
        <v>3</v>
      </c>
      <c r="M34" s="44">
        <v>7</v>
      </c>
      <c r="N34" s="19"/>
      <c r="O34" s="2" t="s">
        <v>48</v>
      </c>
      <c r="P34" s="2" t="s">
        <v>49</v>
      </c>
      <c r="Q34" s="2" t="s">
        <v>81</v>
      </c>
      <c r="R34" s="2" t="s">
        <v>51</v>
      </c>
      <c r="S34" s="2" t="s">
        <v>52</v>
      </c>
      <c r="T34" s="2" t="s">
        <v>60</v>
      </c>
      <c r="U34" s="2" t="s">
        <v>54</v>
      </c>
      <c r="V34" s="2" t="s">
        <v>85</v>
      </c>
    </row>
    <row r="35" spans="1:22" ht="16" customHeight="1" x14ac:dyDescent="0.35">
      <c r="A35">
        <v>34</v>
      </c>
      <c r="B35" s="44">
        <v>5</v>
      </c>
      <c r="C35" s="44">
        <v>4</v>
      </c>
      <c r="D35" s="44">
        <v>3</v>
      </c>
      <c r="E35" s="44">
        <v>6</v>
      </c>
      <c r="F35" s="44">
        <v>4</v>
      </c>
      <c r="G35" s="44">
        <v>3</v>
      </c>
      <c r="H35" s="44">
        <v>5</v>
      </c>
      <c r="I35" s="44">
        <v>5</v>
      </c>
      <c r="J35" s="44">
        <v>3</v>
      </c>
      <c r="K35" s="44">
        <v>4</v>
      </c>
      <c r="L35" s="44">
        <v>2</v>
      </c>
      <c r="M35" s="44">
        <v>6</v>
      </c>
      <c r="N35" s="19"/>
      <c r="O35" s="2" t="s">
        <v>88</v>
      </c>
      <c r="P35" s="2" t="s">
        <v>59</v>
      </c>
      <c r="Q35" s="2" t="s">
        <v>50</v>
      </c>
      <c r="R35" s="2" t="s">
        <v>51</v>
      </c>
      <c r="S35" s="2" t="s">
        <v>52</v>
      </c>
      <c r="T35" s="2" t="s">
        <v>53</v>
      </c>
      <c r="U35" s="2" t="s">
        <v>95</v>
      </c>
      <c r="V35" s="2" t="s">
        <v>61</v>
      </c>
    </row>
    <row r="36" spans="1:22" ht="16" customHeight="1" x14ac:dyDescent="0.35">
      <c r="A36">
        <v>35</v>
      </c>
      <c r="B36" s="44">
        <v>6</v>
      </c>
      <c r="C36" s="44">
        <v>3</v>
      </c>
      <c r="D36" s="44">
        <v>4</v>
      </c>
      <c r="E36" s="44">
        <v>7</v>
      </c>
      <c r="F36" s="44">
        <v>5</v>
      </c>
      <c r="G36" s="44">
        <v>3</v>
      </c>
      <c r="H36" s="44">
        <v>4</v>
      </c>
      <c r="I36" s="44">
        <v>5</v>
      </c>
      <c r="J36" s="44">
        <v>2</v>
      </c>
      <c r="K36" s="44">
        <v>4</v>
      </c>
      <c r="L36" s="44">
        <v>3</v>
      </c>
      <c r="M36" s="44">
        <v>6</v>
      </c>
      <c r="N36" s="19"/>
      <c r="O36" s="2" t="s">
        <v>48</v>
      </c>
      <c r="P36" s="2" t="s">
        <v>59</v>
      </c>
      <c r="Q36" s="2" t="s">
        <v>50</v>
      </c>
      <c r="R36" s="2" t="s">
        <v>127</v>
      </c>
      <c r="S36" s="2" t="s">
        <v>52</v>
      </c>
      <c r="T36" s="2" t="s">
        <v>60</v>
      </c>
      <c r="U36" s="2" t="s">
        <v>54</v>
      </c>
      <c r="V36" s="2" t="s">
        <v>68</v>
      </c>
    </row>
    <row r="37" spans="1:22" ht="16" customHeight="1" x14ac:dyDescent="0.35">
      <c r="A37">
        <v>36</v>
      </c>
      <c r="B37" s="44">
        <v>5</v>
      </c>
      <c r="C37" s="44">
        <v>4</v>
      </c>
      <c r="D37" s="44">
        <v>3</v>
      </c>
      <c r="E37" s="44">
        <v>7</v>
      </c>
      <c r="F37" s="44">
        <v>5</v>
      </c>
      <c r="G37" s="44">
        <v>3</v>
      </c>
      <c r="H37" s="44">
        <v>5</v>
      </c>
      <c r="I37" s="44">
        <v>6</v>
      </c>
      <c r="J37" s="44">
        <v>3</v>
      </c>
      <c r="K37" s="44">
        <v>4</v>
      </c>
      <c r="L37" s="44">
        <v>2</v>
      </c>
      <c r="M37" s="44">
        <v>7</v>
      </c>
      <c r="N37" s="19"/>
      <c r="O37" s="2" t="s">
        <v>88</v>
      </c>
      <c r="P37" s="2" t="s">
        <v>59</v>
      </c>
      <c r="Q37" s="2" t="s">
        <v>81</v>
      </c>
      <c r="R37" s="2" t="s">
        <v>51</v>
      </c>
      <c r="S37" s="2" t="s">
        <v>52</v>
      </c>
      <c r="T37" s="2" t="s">
        <v>60</v>
      </c>
      <c r="U37" s="2" t="s">
        <v>54</v>
      </c>
      <c r="V37" s="2" t="s">
        <v>155</v>
      </c>
    </row>
    <row r="38" spans="1:22" ht="16" customHeight="1" x14ac:dyDescent="0.35">
      <c r="A38">
        <v>37</v>
      </c>
      <c r="B38" s="44">
        <v>6</v>
      </c>
      <c r="C38" s="44">
        <v>3</v>
      </c>
      <c r="D38" s="44">
        <v>3</v>
      </c>
      <c r="E38" s="44">
        <v>6</v>
      </c>
      <c r="F38" s="44">
        <v>4</v>
      </c>
      <c r="G38" s="44">
        <v>3</v>
      </c>
      <c r="H38" s="44">
        <v>4</v>
      </c>
      <c r="I38" s="44">
        <v>5</v>
      </c>
      <c r="J38" s="44">
        <v>2</v>
      </c>
      <c r="K38" s="44">
        <v>3</v>
      </c>
      <c r="L38" s="44">
        <v>2</v>
      </c>
      <c r="M38" s="44">
        <v>7</v>
      </c>
      <c r="N38" s="19"/>
      <c r="O38" s="2" t="s">
        <v>58</v>
      </c>
      <c r="P38" s="2" t="s">
        <v>59</v>
      </c>
      <c r="Q38" s="2" t="s">
        <v>81</v>
      </c>
      <c r="R38" s="2" t="s">
        <v>66</v>
      </c>
      <c r="S38" s="2" t="s">
        <v>52</v>
      </c>
      <c r="T38" s="2" t="s">
        <v>53</v>
      </c>
      <c r="U38" s="2" t="s">
        <v>89</v>
      </c>
      <c r="V38" s="2" t="s">
        <v>61</v>
      </c>
    </row>
    <row r="39" spans="1:22" ht="16" customHeight="1" x14ac:dyDescent="0.35">
      <c r="A39">
        <v>38</v>
      </c>
      <c r="B39" s="44">
        <v>5</v>
      </c>
      <c r="C39" s="44">
        <v>4</v>
      </c>
      <c r="D39" s="44">
        <v>4</v>
      </c>
      <c r="E39" s="44">
        <v>6</v>
      </c>
      <c r="F39" s="44">
        <v>5</v>
      </c>
      <c r="G39" s="44">
        <v>3</v>
      </c>
      <c r="H39" s="44">
        <v>4</v>
      </c>
      <c r="I39" s="44">
        <v>5</v>
      </c>
      <c r="J39" s="44">
        <v>3</v>
      </c>
      <c r="K39" s="44">
        <v>4</v>
      </c>
      <c r="L39" s="44">
        <v>3</v>
      </c>
      <c r="M39" s="44">
        <v>7</v>
      </c>
      <c r="N39" s="19"/>
      <c r="O39" s="2" t="s">
        <v>48</v>
      </c>
      <c r="P39" s="2" t="s">
        <v>49</v>
      </c>
      <c r="Q39" s="2" t="s">
        <v>50</v>
      </c>
      <c r="R39" s="2" t="s">
        <v>51</v>
      </c>
      <c r="S39" s="2" t="s">
        <v>67</v>
      </c>
      <c r="T39" s="2" t="s">
        <v>60</v>
      </c>
      <c r="U39" s="2" t="s">
        <v>54</v>
      </c>
      <c r="V39" s="2" t="s">
        <v>85</v>
      </c>
    </row>
    <row r="40" spans="1:22" ht="16" customHeight="1" x14ac:dyDescent="0.35">
      <c r="A40">
        <v>39</v>
      </c>
      <c r="B40" s="44">
        <v>6</v>
      </c>
      <c r="C40" s="44">
        <v>3</v>
      </c>
      <c r="D40" s="44">
        <v>3</v>
      </c>
      <c r="E40" s="44">
        <v>7</v>
      </c>
      <c r="F40" s="44">
        <v>5</v>
      </c>
      <c r="G40" s="44">
        <v>3</v>
      </c>
      <c r="H40" s="44">
        <v>4</v>
      </c>
      <c r="I40" s="44">
        <v>6</v>
      </c>
      <c r="J40" s="44">
        <v>2</v>
      </c>
      <c r="K40" s="44">
        <v>3</v>
      </c>
      <c r="L40" s="44">
        <v>3</v>
      </c>
      <c r="M40" s="44">
        <v>6</v>
      </c>
      <c r="N40" s="19"/>
      <c r="O40" s="2" t="s">
        <v>48</v>
      </c>
      <c r="P40" s="2" t="s">
        <v>49</v>
      </c>
      <c r="Q40" s="2" t="s">
        <v>50</v>
      </c>
      <c r="R40" s="2" t="s">
        <v>51</v>
      </c>
      <c r="S40" s="2" t="s">
        <v>67</v>
      </c>
      <c r="T40" s="2" t="s">
        <v>161</v>
      </c>
      <c r="U40" s="2" t="s">
        <v>54</v>
      </c>
      <c r="V40" s="2" t="s">
        <v>85</v>
      </c>
    </row>
    <row r="41" spans="1:22" ht="16" customHeight="1" x14ac:dyDescent="0.35">
      <c r="A41">
        <v>40</v>
      </c>
      <c r="B41" s="44">
        <v>5</v>
      </c>
      <c r="C41" s="44">
        <v>3</v>
      </c>
      <c r="D41" s="44">
        <v>4</v>
      </c>
      <c r="E41" s="44">
        <v>6</v>
      </c>
      <c r="F41" s="44">
        <v>5</v>
      </c>
      <c r="G41" s="44">
        <v>3</v>
      </c>
      <c r="H41" s="44">
        <v>4</v>
      </c>
      <c r="I41" s="44">
        <v>5</v>
      </c>
      <c r="J41" s="44">
        <v>3</v>
      </c>
      <c r="K41" s="44">
        <v>4</v>
      </c>
      <c r="L41" s="44">
        <v>3</v>
      </c>
      <c r="M41" s="44">
        <v>4</v>
      </c>
      <c r="N41" s="19"/>
      <c r="O41" s="2" t="s">
        <v>58</v>
      </c>
      <c r="P41" s="2" t="s">
        <v>59</v>
      </c>
      <c r="Q41" s="2" t="s">
        <v>81</v>
      </c>
      <c r="R41" s="2" t="s">
        <v>66</v>
      </c>
      <c r="S41" s="2" t="s">
        <v>67</v>
      </c>
      <c r="T41" s="2" t="s">
        <v>53</v>
      </c>
      <c r="U41" s="2" t="s">
        <v>54</v>
      </c>
      <c r="V41" s="2" t="s">
        <v>68</v>
      </c>
    </row>
    <row r="42" spans="1:22" ht="16" customHeight="1" x14ac:dyDescent="0.35">
      <c r="A42">
        <v>41</v>
      </c>
      <c r="B42" s="44">
        <v>6</v>
      </c>
      <c r="C42" s="44">
        <v>3</v>
      </c>
      <c r="D42" s="44">
        <v>3</v>
      </c>
      <c r="E42" s="44">
        <v>7</v>
      </c>
      <c r="F42" s="44">
        <v>5</v>
      </c>
      <c r="G42" s="44">
        <v>3</v>
      </c>
      <c r="H42" s="44">
        <v>4</v>
      </c>
      <c r="I42" s="44">
        <v>6</v>
      </c>
      <c r="J42" s="44">
        <v>2</v>
      </c>
      <c r="K42" s="44">
        <v>4</v>
      </c>
      <c r="L42" s="44">
        <v>3</v>
      </c>
      <c r="M42" s="44">
        <v>7</v>
      </c>
      <c r="N42" s="19"/>
      <c r="O42" s="2" t="s">
        <v>58</v>
      </c>
      <c r="P42" s="2" t="s">
        <v>59</v>
      </c>
      <c r="Q42" s="2" t="s">
        <v>81</v>
      </c>
      <c r="R42" s="2" t="s">
        <v>51</v>
      </c>
      <c r="S42" s="2" t="s">
        <v>52</v>
      </c>
      <c r="T42" s="2" t="s">
        <v>60</v>
      </c>
      <c r="U42" s="2" t="s">
        <v>89</v>
      </c>
      <c r="V42" s="2" t="s">
        <v>165</v>
      </c>
    </row>
    <row r="43" spans="1:22" ht="16" customHeight="1" x14ac:dyDescent="0.35">
      <c r="A43">
        <v>42</v>
      </c>
      <c r="B43" s="44">
        <v>5</v>
      </c>
      <c r="C43" s="44">
        <v>4</v>
      </c>
      <c r="D43" s="44">
        <v>4</v>
      </c>
      <c r="E43" s="44">
        <v>6</v>
      </c>
      <c r="F43" s="44">
        <v>5</v>
      </c>
      <c r="G43" s="44">
        <v>3</v>
      </c>
      <c r="H43" s="44">
        <v>5</v>
      </c>
      <c r="I43" s="44">
        <v>5</v>
      </c>
      <c r="J43" s="44">
        <v>3</v>
      </c>
      <c r="K43" s="44">
        <v>4</v>
      </c>
      <c r="L43" s="44">
        <v>3</v>
      </c>
      <c r="M43" s="44">
        <v>6</v>
      </c>
      <c r="N43" s="19"/>
      <c r="O43" s="2" t="s">
        <v>88</v>
      </c>
      <c r="P43" s="2" t="s">
        <v>59</v>
      </c>
      <c r="Q43" s="2" t="s">
        <v>50</v>
      </c>
      <c r="R43" s="2" t="s">
        <v>167</v>
      </c>
      <c r="S43" s="2" t="s">
        <v>67</v>
      </c>
      <c r="T43" s="2" t="s">
        <v>53</v>
      </c>
      <c r="U43" s="2" t="s">
        <v>54</v>
      </c>
      <c r="V43" s="2" t="s">
        <v>71</v>
      </c>
    </row>
    <row r="44" spans="1:22" ht="16" customHeight="1" x14ac:dyDescent="0.35">
      <c r="A44">
        <v>43</v>
      </c>
      <c r="B44" s="44">
        <v>6</v>
      </c>
      <c r="C44" s="44">
        <v>3</v>
      </c>
      <c r="D44" s="44">
        <v>4</v>
      </c>
      <c r="E44" s="44">
        <v>7</v>
      </c>
      <c r="F44" s="44">
        <v>5</v>
      </c>
      <c r="G44" s="44">
        <v>3</v>
      </c>
      <c r="H44" s="44">
        <v>5</v>
      </c>
      <c r="I44" s="44">
        <v>5</v>
      </c>
      <c r="J44" s="44">
        <v>2</v>
      </c>
      <c r="K44" s="44">
        <v>4</v>
      </c>
      <c r="L44" s="44">
        <v>2</v>
      </c>
      <c r="M44" s="44">
        <v>7</v>
      </c>
      <c r="N44" s="19"/>
      <c r="O44" s="2" t="s">
        <v>58</v>
      </c>
      <c r="P44" s="2" t="s">
        <v>80</v>
      </c>
      <c r="Q44" s="2" t="s">
        <v>81</v>
      </c>
      <c r="R44" s="2" t="s">
        <v>66</v>
      </c>
      <c r="S44" s="2" t="s">
        <v>67</v>
      </c>
      <c r="T44" s="2" t="s">
        <v>60</v>
      </c>
      <c r="U44" s="2" t="s">
        <v>95</v>
      </c>
      <c r="V44" s="2" t="s">
        <v>85</v>
      </c>
    </row>
    <row r="45" spans="1:22" ht="16" customHeight="1" x14ac:dyDescent="0.35">
      <c r="A45">
        <v>44</v>
      </c>
      <c r="B45" s="44">
        <v>5</v>
      </c>
      <c r="C45" s="44">
        <v>3</v>
      </c>
      <c r="D45" s="44">
        <v>3</v>
      </c>
      <c r="E45" s="44">
        <v>6</v>
      </c>
      <c r="F45" s="44">
        <v>4</v>
      </c>
      <c r="G45" s="44">
        <v>3</v>
      </c>
      <c r="H45" s="44">
        <v>4</v>
      </c>
      <c r="I45" s="44">
        <v>5</v>
      </c>
      <c r="J45" s="44">
        <v>2</v>
      </c>
      <c r="K45" s="44">
        <v>3</v>
      </c>
      <c r="L45" s="44">
        <v>2</v>
      </c>
      <c r="M45" s="44">
        <v>7</v>
      </c>
      <c r="N45" s="19"/>
      <c r="O45" s="2" t="s">
        <v>48</v>
      </c>
      <c r="P45" s="2" t="s">
        <v>49</v>
      </c>
      <c r="Q45" s="2" t="s">
        <v>50</v>
      </c>
      <c r="R45" s="2" t="s">
        <v>127</v>
      </c>
      <c r="S45" s="2" t="s">
        <v>52</v>
      </c>
      <c r="T45" s="2" t="s">
        <v>53</v>
      </c>
      <c r="U45" s="2" t="s">
        <v>54</v>
      </c>
      <c r="V45" s="2" t="s">
        <v>98</v>
      </c>
    </row>
    <row r="46" spans="1:22" ht="16" customHeight="1" x14ac:dyDescent="0.35">
      <c r="A46">
        <v>45</v>
      </c>
      <c r="B46" s="44">
        <v>6</v>
      </c>
      <c r="C46" s="44">
        <v>4</v>
      </c>
      <c r="D46" s="44">
        <v>4</v>
      </c>
      <c r="E46" s="44">
        <v>7</v>
      </c>
      <c r="F46" s="44">
        <v>5</v>
      </c>
      <c r="G46" s="44">
        <v>3</v>
      </c>
      <c r="H46" s="44">
        <v>5</v>
      </c>
      <c r="I46" s="44">
        <v>6</v>
      </c>
      <c r="J46" s="44">
        <v>3</v>
      </c>
      <c r="K46" s="44">
        <v>4</v>
      </c>
      <c r="L46" s="44">
        <v>3</v>
      </c>
      <c r="M46" s="44">
        <v>6</v>
      </c>
      <c r="N46" s="19"/>
      <c r="O46" s="2" t="s">
        <v>88</v>
      </c>
      <c r="P46" s="2" t="s">
        <v>59</v>
      </c>
      <c r="Q46" s="2" t="s">
        <v>81</v>
      </c>
      <c r="R46" s="2" t="s">
        <v>127</v>
      </c>
      <c r="S46" s="2" t="s">
        <v>52</v>
      </c>
      <c r="T46" s="2" t="s">
        <v>60</v>
      </c>
      <c r="U46" s="2" t="s">
        <v>54</v>
      </c>
      <c r="V46" s="2" t="s">
        <v>171</v>
      </c>
    </row>
    <row r="47" spans="1:22" ht="16" customHeight="1" x14ac:dyDescent="0.35">
      <c r="A47">
        <v>46</v>
      </c>
      <c r="B47" s="44">
        <v>5</v>
      </c>
      <c r="C47" s="44">
        <v>3</v>
      </c>
      <c r="D47" s="44">
        <v>4</v>
      </c>
      <c r="E47" s="44">
        <v>6</v>
      </c>
      <c r="F47" s="44">
        <v>5</v>
      </c>
      <c r="G47" s="44">
        <v>3</v>
      </c>
      <c r="H47" s="44">
        <v>4</v>
      </c>
      <c r="I47" s="44">
        <v>5</v>
      </c>
      <c r="J47" s="44">
        <v>3</v>
      </c>
      <c r="K47" s="44">
        <v>4</v>
      </c>
      <c r="L47" s="44">
        <v>3</v>
      </c>
      <c r="M47" s="44">
        <v>7</v>
      </c>
      <c r="N47" s="19"/>
      <c r="O47" s="2" t="s">
        <v>88</v>
      </c>
      <c r="P47" s="2" t="s">
        <v>59</v>
      </c>
      <c r="Q47" s="2" t="s">
        <v>81</v>
      </c>
      <c r="R47" s="2" t="s">
        <v>127</v>
      </c>
      <c r="S47" s="2" t="s">
        <v>52</v>
      </c>
      <c r="T47" s="2" t="s">
        <v>53</v>
      </c>
      <c r="U47" s="2" t="s">
        <v>54</v>
      </c>
      <c r="V47" s="2" t="s">
        <v>173</v>
      </c>
    </row>
    <row r="48" spans="1:22" ht="16" customHeight="1" x14ac:dyDescent="0.35">
      <c r="A48">
        <v>47</v>
      </c>
      <c r="B48" s="44">
        <v>6</v>
      </c>
      <c r="C48" s="44">
        <v>3</v>
      </c>
      <c r="D48" s="44">
        <v>3</v>
      </c>
      <c r="E48" s="44">
        <v>7</v>
      </c>
      <c r="F48" s="44">
        <v>5</v>
      </c>
      <c r="G48" s="44">
        <v>3</v>
      </c>
      <c r="H48" s="44">
        <v>4</v>
      </c>
      <c r="I48" s="44">
        <v>5</v>
      </c>
      <c r="J48" s="44">
        <v>2</v>
      </c>
      <c r="K48" s="44">
        <v>3</v>
      </c>
      <c r="L48" s="44">
        <v>2</v>
      </c>
      <c r="M48" s="44">
        <v>6</v>
      </c>
      <c r="N48" s="19"/>
      <c r="O48" s="2" t="s">
        <v>88</v>
      </c>
      <c r="P48" s="2" t="s">
        <v>49</v>
      </c>
      <c r="Q48" s="2" t="s">
        <v>81</v>
      </c>
      <c r="R48" s="2" t="s">
        <v>127</v>
      </c>
      <c r="S48" s="2" t="s">
        <v>52</v>
      </c>
      <c r="T48" s="2" t="s">
        <v>53</v>
      </c>
      <c r="U48" s="2" t="s">
        <v>89</v>
      </c>
      <c r="V48" s="2" t="s">
        <v>55</v>
      </c>
    </row>
    <row r="49" spans="1:22" ht="16" customHeight="1" x14ac:dyDescent="0.35">
      <c r="A49">
        <v>48</v>
      </c>
      <c r="B49" s="44">
        <v>5</v>
      </c>
      <c r="C49" s="44">
        <v>4</v>
      </c>
      <c r="D49" s="44">
        <v>4</v>
      </c>
      <c r="E49" s="44">
        <v>6</v>
      </c>
      <c r="F49" s="44">
        <v>5</v>
      </c>
      <c r="G49" s="44">
        <v>3</v>
      </c>
      <c r="H49" s="44">
        <v>4</v>
      </c>
      <c r="I49" s="44">
        <v>5</v>
      </c>
      <c r="J49" s="44">
        <v>3</v>
      </c>
      <c r="K49" s="44">
        <v>4</v>
      </c>
      <c r="L49" s="44">
        <v>3</v>
      </c>
      <c r="M49" s="44">
        <v>7</v>
      </c>
      <c r="N49" s="19"/>
      <c r="O49" s="2" t="s">
        <v>58</v>
      </c>
      <c r="P49" s="2" t="s">
        <v>59</v>
      </c>
      <c r="Q49" s="2" t="s">
        <v>81</v>
      </c>
      <c r="R49" s="2" t="s">
        <v>66</v>
      </c>
      <c r="S49" s="2" t="s">
        <v>52</v>
      </c>
      <c r="T49" s="2" t="s">
        <v>53</v>
      </c>
      <c r="U49" s="2" t="s">
        <v>54</v>
      </c>
      <c r="V49" s="2" t="s">
        <v>68</v>
      </c>
    </row>
    <row r="50" spans="1:22" ht="16" customHeight="1" x14ac:dyDescent="0.35">
      <c r="A50">
        <v>49</v>
      </c>
      <c r="B50" s="44">
        <v>6</v>
      </c>
      <c r="C50" s="44">
        <v>3</v>
      </c>
      <c r="D50" s="44">
        <v>4</v>
      </c>
      <c r="E50" s="44">
        <v>7</v>
      </c>
      <c r="F50" s="44">
        <v>5</v>
      </c>
      <c r="G50" s="44">
        <v>3</v>
      </c>
      <c r="H50" s="44">
        <v>4</v>
      </c>
      <c r="I50" s="44">
        <v>6</v>
      </c>
      <c r="J50" s="44">
        <v>2</v>
      </c>
      <c r="K50" s="44">
        <v>4</v>
      </c>
      <c r="L50" s="44">
        <v>3</v>
      </c>
      <c r="M50" s="44">
        <v>7</v>
      </c>
      <c r="N50" s="19"/>
      <c r="O50" s="2" t="s">
        <v>48</v>
      </c>
      <c r="P50" s="2" t="s">
        <v>59</v>
      </c>
      <c r="Q50" s="2" t="s">
        <v>81</v>
      </c>
      <c r="R50" s="2" t="s">
        <v>66</v>
      </c>
      <c r="S50" s="2" t="s">
        <v>52</v>
      </c>
      <c r="T50" s="2" t="s">
        <v>53</v>
      </c>
      <c r="U50" s="2" t="s">
        <v>54</v>
      </c>
      <c r="V50" s="2" t="s">
        <v>85</v>
      </c>
    </row>
    <row r="51" spans="1:22" ht="16" customHeight="1" x14ac:dyDescent="0.35">
      <c r="A51">
        <v>50</v>
      </c>
      <c r="B51" s="44">
        <v>5</v>
      </c>
      <c r="C51" s="44">
        <v>3</v>
      </c>
      <c r="D51" s="44">
        <v>3</v>
      </c>
      <c r="E51" s="44">
        <v>6</v>
      </c>
      <c r="F51" s="44">
        <v>5</v>
      </c>
      <c r="G51" s="44">
        <v>3</v>
      </c>
      <c r="H51" s="44">
        <v>4</v>
      </c>
      <c r="I51" s="44">
        <v>5</v>
      </c>
      <c r="J51" s="44">
        <v>3</v>
      </c>
      <c r="K51" s="44">
        <v>4</v>
      </c>
      <c r="L51" s="12">
        <v>3</v>
      </c>
      <c r="M51" s="12">
        <v>7</v>
      </c>
      <c r="N51" s="19"/>
      <c r="O51" s="2" t="s">
        <v>58</v>
      </c>
      <c r="P51" s="2" t="s">
        <v>59</v>
      </c>
      <c r="Q51" s="2" t="s">
        <v>81</v>
      </c>
      <c r="R51" s="2" t="s">
        <v>66</v>
      </c>
      <c r="S51" s="2" t="s">
        <v>52</v>
      </c>
      <c r="T51" s="2" t="s">
        <v>84</v>
      </c>
      <c r="U51" s="2" t="s">
        <v>89</v>
      </c>
      <c r="V51" s="2" t="s">
        <v>61</v>
      </c>
    </row>
  </sheetData>
  <autoFilter ref="O1:V51" xr:uid="{0CE836C6-3FDF-4D56-B568-9D06F875C50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5F30-7401-45AC-8509-12DD9ADEA65D}">
  <dimension ref="A1:P64"/>
  <sheetViews>
    <sheetView topLeftCell="B1" zoomScale="106" workbookViewId="0">
      <selection activeCell="J13" sqref="J13"/>
    </sheetView>
  </sheetViews>
  <sheetFormatPr defaultColWidth="27.81640625" defaultRowHeight="16" customHeight="1" x14ac:dyDescent="0.35"/>
  <cols>
    <col min="1" max="1" width="5.1796875" bestFit="1" customWidth="1"/>
    <col min="2" max="2" width="44.7265625" style="8" bestFit="1" customWidth="1"/>
    <col min="3" max="3" width="29.54296875" style="8" customWidth="1"/>
    <col min="4" max="5" width="27.81640625" style="12"/>
    <col min="6" max="6" width="15.81640625" style="8" customWidth="1"/>
    <col min="7" max="7" width="20.1796875" style="8" customWidth="1"/>
    <col min="8" max="8" width="19.1796875" bestFit="1" customWidth="1"/>
    <col min="9" max="9" width="15.81640625" style="8" customWidth="1"/>
    <col min="10" max="10" width="24.1796875" customWidth="1"/>
    <col min="11" max="11" width="15.81640625" style="8" bestFit="1" customWidth="1"/>
    <col min="12" max="12" width="23.453125" customWidth="1"/>
    <col min="13" max="13" width="11" style="8" customWidth="1"/>
    <col min="15" max="15" width="19.453125" customWidth="1"/>
  </cols>
  <sheetData>
    <row r="1" spans="1:16" ht="16" customHeight="1" x14ac:dyDescent="0.35">
      <c r="A1" s="8" t="s">
        <v>257</v>
      </c>
      <c r="B1" s="6" t="s">
        <v>258</v>
      </c>
      <c r="C1" s="6" t="s">
        <v>266</v>
      </c>
      <c r="D1" s="46" t="s">
        <v>259</v>
      </c>
      <c r="E1" s="46" t="s">
        <v>267</v>
      </c>
      <c r="F1" s="6" t="s">
        <v>260</v>
      </c>
      <c r="G1" s="6" t="s">
        <v>268</v>
      </c>
      <c r="H1" s="3" t="s">
        <v>261</v>
      </c>
      <c r="I1" s="6" t="s">
        <v>269</v>
      </c>
      <c r="J1" s="3" t="s">
        <v>262</v>
      </c>
      <c r="K1" s="6" t="s">
        <v>271</v>
      </c>
      <c r="L1" s="3" t="s">
        <v>263</v>
      </c>
      <c r="M1" s="6"/>
      <c r="N1" s="3" t="s">
        <v>264</v>
      </c>
      <c r="O1" s="3" t="s">
        <v>272</v>
      </c>
      <c r="P1" s="3" t="s">
        <v>265</v>
      </c>
    </row>
    <row r="2" spans="1:16" ht="16" customHeight="1" x14ac:dyDescent="0.35">
      <c r="A2" s="8">
        <v>1</v>
      </c>
      <c r="B2" s="7" t="s">
        <v>48</v>
      </c>
      <c r="C2" s="44" cm="1">
        <f t="array" ref="C2">IF(B2="Daily",1,IF(B2="Weekly",2,IF(B2="Occasionally",3,IF(B="Rarely or Never",4,""))))</f>
        <v>1</v>
      </c>
      <c r="D2" s="47" t="s">
        <v>49</v>
      </c>
      <c r="E2" s="47" cm="1">
        <f t="array" ref="E2">_xlfn.IFS(D2="18 - 24", 1, D2="25 - 34", 2, D2="35 - 44", 3, D2="45 - 54", 4)</f>
        <v>2</v>
      </c>
      <c r="F2" s="7" t="s">
        <v>50</v>
      </c>
      <c r="G2" s="44">
        <f>IF(F2= "Male",1,0)</f>
        <v>1</v>
      </c>
      <c r="H2" s="2" t="s">
        <v>51</v>
      </c>
      <c r="I2" s="44" cm="1">
        <f t="array" ref="I2">_xlfn.IFS(H2="Ireland",1,H2="India",2,H2="EU(other than Ireland)",3,H2="UK",4)</f>
        <v>1</v>
      </c>
      <c r="J2" s="2" t="s">
        <v>52</v>
      </c>
      <c r="K2" s="44">
        <f>IF(J2="Student",1,0)</f>
        <v>1</v>
      </c>
      <c r="L2" s="2" t="s">
        <v>53</v>
      </c>
      <c r="M2" s="44" cm="1">
        <f t="array" ref="M2">_xlfn.IFS(L2="€199-€249",2, L2="Under €199",1,L2="€249-€399",3,L2="Over €399",4)</f>
        <v>2</v>
      </c>
      <c r="N2" s="2" t="s">
        <v>54</v>
      </c>
      <c r="O2" s="45" cm="1">
        <f t="array" ref="O2">_xlfn.IFS(N2="Yes, currently own one",1,N2="Yes, but no longer use it",2,N2="No, I’ve never owned one",3)</f>
        <v>1</v>
      </c>
      <c r="P2" s="2" t="s">
        <v>55</v>
      </c>
    </row>
    <row r="3" spans="1:16" ht="16" customHeight="1" x14ac:dyDescent="0.35">
      <c r="A3" s="8">
        <v>2</v>
      </c>
      <c r="B3" s="7" t="s">
        <v>58</v>
      </c>
      <c r="C3" s="44" cm="1">
        <f t="array" ref="C3">IF(B3="Daily",1,IF(B3="Weekly",2,IF(B3="Occasionally",3,IF(B="Rarely or Never",4,""))))</f>
        <v>2</v>
      </c>
      <c r="D3" s="47" t="s">
        <v>59</v>
      </c>
      <c r="E3" s="47" cm="1">
        <f t="array" ref="E3">_xlfn.IFS(D3="18 - 24", 1, D3="25 - 34", 2, D3="35 - 44", 3, D3="45 - 54", 4)</f>
        <v>1</v>
      </c>
      <c r="F3" s="7" t="s">
        <v>50</v>
      </c>
      <c r="G3" s="44">
        <f t="shared" ref="G3:G57" si="0">IF(F3= "Male",1,0)</f>
        <v>1</v>
      </c>
      <c r="H3" s="2" t="s">
        <v>51</v>
      </c>
      <c r="I3" s="44" cm="1">
        <f t="array" ref="I3">_xlfn.IFS(H3="Ireland",1,H3="India",2,H3="EU(other than Ireland)",3,H3="UK",4)</f>
        <v>1</v>
      </c>
      <c r="J3" s="2" t="s">
        <v>52</v>
      </c>
      <c r="K3" s="44">
        <f t="shared" ref="K3:K57" si="1">IF(J3="Student",1,0)</f>
        <v>1</v>
      </c>
      <c r="L3" s="2" t="s">
        <v>60</v>
      </c>
      <c r="M3" s="44" cm="1">
        <f t="array" ref="M3">_xlfn.IFS(L3="€199-€249",2, L3="Under €199",1,L3="€249-€399",3,L3="Over €399",4)</f>
        <v>1</v>
      </c>
      <c r="N3" s="2" t="s">
        <v>54</v>
      </c>
      <c r="O3" s="45" cm="1">
        <f t="array" ref="O3">_xlfn.IFS(N3="Yes, currently own one",1,N3="Yes, but no longer use it",2,N3="No, I’ve never owned one",3)</f>
        <v>1</v>
      </c>
      <c r="P3" s="2" t="s">
        <v>61</v>
      </c>
    </row>
    <row r="4" spans="1:16" ht="16" customHeight="1" x14ac:dyDescent="0.35">
      <c r="A4" s="8">
        <v>3</v>
      </c>
      <c r="B4" s="7" t="s">
        <v>48</v>
      </c>
      <c r="C4" s="44" cm="1">
        <f t="array" ref="C4">IF(B4="Daily",1,IF(B4="Weekly",2,IF(B4="Occasionally",3,IF(B="Rarely or Never",4,""))))</f>
        <v>1</v>
      </c>
      <c r="D4" s="47" t="s">
        <v>59</v>
      </c>
      <c r="E4" s="47" cm="1">
        <f t="array" ref="E4">_xlfn.IFS(D4="18 - 24", 1, D4="25 - 34", 2, D4="35 - 44", 3, D4="45 - 54", 4)</f>
        <v>1</v>
      </c>
      <c r="F4" s="7" t="s">
        <v>50</v>
      </c>
      <c r="G4" s="44">
        <f t="shared" si="0"/>
        <v>1</v>
      </c>
      <c r="H4" s="2" t="s">
        <v>270</v>
      </c>
      <c r="I4" s="44" cm="1">
        <f t="array" ref="I4">_xlfn.IFS(H4="Ireland",1,H4="India",2,H4="EU(other than Ireland)",3,H4="UK",4)</f>
        <v>2</v>
      </c>
      <c r="J4" s="2" t="s">
        <v>67</v>
      </c>
      <c r="K4" s="44">
        <f t="shared" si="1"/>
        <v>0</v>
      </c>
      <c r="L4" s="2" t="s">
        <v>53</v>
      </c>
      <c r="M4" s="44" cm="1">
        <f t="array" ref="M4">_xlfn.IFS(L4="€199-€249",2, L4="Under €199",1,L4="€249-€399",3,L4="Over €399",4)</f>
        <v>2</v>
      </c>
      <c r="N4" s="2" t="s">
        <v>54</v>
      </c>
      <c r="O4" s="45" cm="1">
        <f t="array" ref="O4">_xlfn.IFS(N4="Yes, currently own one",1,N4="Yes, but no longer use it",2,N4="No, I’ve never owned one",3)</f>
        <v>1</v>
      </c>
      <c r="P4" s="2" t="s">
        <v>68</v>
      </c>
    </row>
    <row r="5" spans="1:16" ht="16" customHeight="1" x14ac:dyDescent="0.35">
      <c r="A5" s="8">
        <v>4</v>
      </c>
      <c r="B5" s="7" t="s">
        <v>48</v>
      </c>
      <c r="C5" s="44" cm="1">
        <f t="array" ref="C5">IF(B5="Daily",1,IF(B5="Weekly",2,IF(B5="Occasionally",3,IF(B="Rarely or Never",4,""))))</f>
        <v>1</v>
      </c>
      <c r="D5" s="47" t="s">
        <v>49</v>
      </c>
      <c r="E5" s="47" cm="1">
        <f t="array" ref="E5">_xlfn.IFS(D5="18 - 24", 1, D5="25 - 34", 2, D5="35 - 44", 3, D5="45 - 54", 4)</f>
        <v>2</v>
      </c>
      <c r="F5" s="7" t="s">
        <v>50</v>
      </c>
      <c r="G5" s="44">
        <f t="shared" si="0"/>
        <v>1</v>
      </c>
      <c r="H5" s="2" t="s">
        <v>51</v>
      </c>
      <c r="I5" s="44" cm="1">
        <f t="array" ref="I5">_xlfn.IFS(H5="Ireland",1,H5="India",2,H5="EU(other than Ireland)",3,H5="UK",4)</f>
        <v>1</v>
      </c>
      <c r="J5" s="2" t="s">
        <v>52</v>
      </c>
      <c r="K5" s="44">
        <f t="shared" si="1"/>
        <v>1</v>
      </c>
      <c r="L5" s="2" t="s">
        <v>53</v>
      </c>
      <c r="M5" s="44" cm="1">
        <f t="array" ref="M5">_xlfn.IFS(L5="€199-€249",2, L5="Under €199",1,L5="€249-€399",3,L5="Over €399",4)</f>
        <v>2</v>
      </c>
      <c r="N5" s="2" t="s">
        <v>54</v>
      </c>
      <c r="O5" s="45" cm="1">
        <f t="array" ref="O5">_xlfn.IFS(N5="Yes, currently own one",1,N5="Yes, but no longer use it",2,N5="No, I’ve never owned one",3)</f>
        <v>1</v>
      </c>
      <c r="P5" s="2" t="s">
        <v>63</v>
      </c>
    </row>
    <row r="6" spans="1:16" ht="16" customHeight="1" x14ac:dyDescent="0.35">
      <c r="A6" s="8">
        <v>5</v>
      </c>
      <c r="B6" s="7" t="s">
        <v>48</v>
      </c>
      <c r="C6" s="44" cm="1">
        <f t="array" ref="C6">IF(B6="Daily",1,IF(B6="Weekly",2,IF(B6="Occasionally",3,IF(B="Rarely or Never",4,""))))</f>
        <v>1</v>
      </c>
      <c r="D6" s="47" t="s">
        <v>59</v>
      </c>
      <c r="E6" s="47" cm="1">
        <f t="array" ref="E6">_xlfn.IFS(D6="18 - 24", 1, D6="25 - 34", 2, D6="35 - 44", 3, D6="45 - 54", 4)</f>
        <v>1</v>
      </c>
      <c r="F6" s="7" t="s">
        <v>50</v>
      </c>
      <c r="G6" s="44">
        <f t="shared" si="0"/>
        <v>1</v>
      </c>
      <c r="H6" s="2" t="s">
        <v>51</v>
      </c>
      <c r="I6" s="44" cm="1">
        <f t="array" ref="I6">_xlfn.IFS(H6="Ireland",1,H6="India",2,H6="EU(other than Ireland)",3,H6="UK",4)</f>
        <v>1</v>
      </c>
      <c r="J6" s="2" t="s">
        <v>52</v>
      </c>
      <c r="K6" s="44">
        <f t="shared" si="1"/>
        <v>1</v>
      </c>
      <c r="L6" s="2" t="s">
        <v>53</v>
      </c>
      <c r="M6" s="44" cm="1">
        <f t="array" ref="M6">_xlfn.IFS(L6="€199-€249",2, L6="Under €199",1,L6="€249-€399",3,L6="Over €399",4)</f>
        <v>2</v>
      </c>
      <c r="N6" s="2" t="s">
        <v>54</v>
      </c>
      <c r="O6" s="45" cm="1">
        <f t="array" ref="O6">_xlfn.IFS(N6="Yes, currently own one",1,N6="Yes, but no longer use it",2,N6="No, I’ve never owned one",3)</f>
        <v>1</v>
      </c>
      <c r="P6" s="2" t="s">
        <v>75</v>
      </c>
    </row>
    <row r="7" spans="1:16" ht="16" customHeight="1" x14ac:dyDescent="0.35">
      <c r="A7" s="8">
        <v>6</v>
      </c>
      <c r="B7" s="7" t="s">
        <v>58</v>
      </c>
      <c r="C7" s="44" cm="1">
        <f t="array" ref="C7">IF(B7="Daily",1,IF(B7="Weekly",2,IF(B7="Occasionally",3,IF(B="Rarely or Never",4,""))))</f>
        <v>2</v>
      </c>
      <c r="D7" s="47" t="s">
        <v>59</v>
      </c>
      <c r="E7" s="47" cm="1">
        <f t="array" ref="E7">_xlfn.IFS(D7="18 - 24", 1, D7="25 - 34", 2, D7="35 - 44", 3, D7="45 - 54", 4)</f>
        <v>1</v>
      </c>
      <c r="F7" s="7" t="s">
        <v>50</v>
      </c>
      <c r="G7" s="44">
        <f t="shared" si="0"/>
        <v>1</v>
      </c>
      <c r="H7" s="2" t="s">
        <v>270</v>
      </c>
      <c r="I7" s="44" cm="1">
        <f t="array" ref="I7">_xlfn.IFS(H7="Ireland",1,H7="India",2,H7="EU(other than Ireland)",3,H7="UK",4)</f>
        <v>2</v>
      </c>
      <c r="J7" s="2" t="s">
        <v>67</v>
      </c>
      <c r="K7" s="44">
        <f t="shared" si="1"/>
        <v>0</v>
      </c>
      <c r="L7" s="2" t="s">
        <v>53</v>
      </c>
      <c r="M7" s="44" cm="1">
        <f t="array" ref="M7">_xlfn.IFS(L7="€199-€249",2, L7="Under €199",1,L7="€249-€399",3,L7="Over €399",4)</f>
        <v>2</v>
      </c>
      <c r="N7" s="2" t="s">
        <v>54</v>
      </c>
      <c r="O7" s="45" cm="1">
        <f t="array" ref="O7">_xlfn.IFS(N7="Yes, currently own one",1,N7="Yes, but no longer use it",2,N7="No, I’ve never owned one",3)</f>
        <v>1</v>
      </c>
      <c r="P7" s="2" t="s">
        <v>77</v>
      </c>
    </row>
    <row r="8" spans="1:16" ht="16" customHeight="1" x14ac:dyDescent="0.35">
      <c r="A8" s="8">
        <v>7</v>
      </c>
      <c r="B8" s="7" t="s">
        <v>48</v>
      </c>
      <c r="C8" s="44" cm="1">
        <f t="array" ref="C8">IF(B8="Daily",1,IF(B8="Weekly",2,IF(B8="Occasionally",3,IF(B="Rarely or Never",4,""))))</f>
        <v>1</v>
      </c>
      <c r="D8" s="47" t="s">
        <v>80</v>
      </c>
      <c r="E8" s="47" cm="1">
        <f t="array" ref="E8">_xlfn.IFS(D8="18 - 24", 1, D8="25 - 34", 2, D8="35 - 44", 3, D8="45 - 54", 4)</f>
        <v>3</v>
      </c>
      <c r="F8" s="7" t="s">
        <v>81</v>
      </c>
      <c r="G8" s="44">
        <f t="shared" si="0"/>
        <v>0</v>
      </c>
      <c r="H8" s="2" t="s">
        <v>270</v>
      </c>
      <c r="I8" s="44" cm="1">
        <f t="array" ref="I8">_xlfn.IFS(H8="Ireland",1,H8="India",2,H8="EU(other than Ireland)",3,H8="UK",4)</f>
        <v>2</v>
      </c>
      <c r="J8" s="2" t="s">
        <v>67</v>
      </c>
      <c r="K8" s="44">
        <f t="shared" si="1"/>
        <v>0</v>
      </c>
      <c r="L8" s="2" t="s">
        <v>53</v>
      </c>
      <c r="M8" s="44" cm="1">
        <f t="array" ref="M8">_xlfn.IFS(L8="€199-€249",2, L8="Under €199",1,L8="€249-€399",3,L8="Over €399",4)</f>
        <v>2</v>
      </c>
      <c r="N8" s="2" t="s">
        <v>54</v>
      </c>
      <c r="O8" s="45" cm="1">
        <f t="array" ref="O8">_xlfn.IFS(N8="Yes, currently own one",1,N8="Yes, but no longer use it",2,N8="No, I’ve never owned one",3)</f>
        <v>1</v>
      </c>
      <c r="P8" s="2" t="s">
        <v>71</v>
      </c>
    </row>
    <row r="9" spans="1:16" ht="16" customHeight="1" x14ac:dyDescent="0.35">
      <c r="A9" s="8">
        <v>8</v>
      </c>
      <c r="B9" s="7" t="s">
        <v>48</v>
      </c>
      <c r="C9" s="44" cm="1">
        <f t="array" ref="C9">IF(B9="Daily",1,IF(B9="Weekly",2,IF(B9="Occasionally",3,IF(B="Rarely or Never",4,""))))</f>
        <v>1</v>
      </c>
      <c r="D9" s="47" t="s">
        <v>49</v>
      </c>
      <c r="E9" s="47" cm="1">
        <f t="array" ref="E9">_xlfn.IFS(D9="18 - 24", 1, D9="25 - 34", 2, D9="35 - 44", 3, D9="45 - 54", 4)</f>
        <v>2</v>
      </c>
      <c r="F9" s="7" t="s">
        <v>50</v>
      </c>
      <c r="G9" s="44">
        <f t="shared" si="0"/>
        <v>1</v>
      </c>
      <c r="H9" s="2" t="s">
        <v>51</v>
      </c>
      <c r="I9" s="44" cm="1">
        <f t="array" ref="I9">_xlfn.IFS(H9="Ireland",1,H9="India",2,H9="EU(other than Ireland)",3,H9="UK",4)</f>
        <v>1</v>
      </c>
      <c r="J9" s="2" t="s">
        <v>52</v>
      </c>
      <c r="K9" s="44">
        <f t="shared" si="1"/>
        <v>1</v>
      </c>
      <c r="L9" s="2" t="s">
        <v>53</v>
      </c>
      <c r="M9" s="44" cm="1">
        <f t="array" ref="M9">_xlfn.IFS(L9="€199-€249",2, L9="Under €199",1,L9="€249-€399",3,L9="Over €399",4)</f>
        <v>2</v>
      </c>
      <c r="N9" s="2" t="s">
        <v>54</v>
      </c>
      <c r="O9" s="45" cm="1">
        <f t="array" ref="O9">_xlfn.IFS(N9="Yes, currently own one",1,N9="Yes, but no longer use it",2,N9="No, I’ve never owned one",3)</f>
        <v>1</v>
      </c>
      <c r="P9" s="2" t="s">
        <v>71</v>
      </c>
    </row>
    <row r="10" spans="1:16" ht="16" customHeight="1" x14ac:dyDescent="0.35">
      <c r="A10" s="8">
        <v>9</v>
      </c>
      <c r="B10" s="7" t="s">
        <v>88</v>
      </c>
      <c r="C10" s="44" cm="1">
        <f t="array" ref="C10">IF(B10="Daily",1,IF(B10="Weekly",2,IF(B10="Occasionally",3,IF(B="Rarely or Never",4,""))))</f>
        <v>3</v>
      </c>
      <c r="D10" s="47" t="s">
        <v>49</v>
      </c>
      <c r="E10" s="47" cm="1">
        <f t="array" ref="E10">_xlfn.IFS(D10="18 - 24", 1, D10="25 - 34", 2, D10="35 - 44", 3, D10="45 - 54", 4)</f>
        <v>2</v>
      </c>
      <c r="F10" s="7" t="s">
        <v>50</v>
      </c>
      <c r="G10" s="44">
        <f t="shared" si="0"/>
        <v>1</v>
      </c>
      <c r="H10" s="2" t="s">
        <v>51</v>
      </c>
      <c r="I10" s="44" cm="1">
        <f t="array" ref="I10">_xlfn.IFS(H10="Ireland",1,H10="India",2,H10="EU(other than Ireland)",3,H10="UK",4)</f>
        <v>1</v>
      </c>
      <c r="J10" s="2" t="s">
        <v>52</v>
      </c>
      <c r="K10" s="44">
        <f t="shared" si="1"/>
        <v>1</v>
      </c>
      <c r="L10" s="2" t="s">
        <v>53</v>
      </c>
      <c r="M10" s="44" cm="1">
        <f t="array" ref="M10">_xlfn.IFS(L10="€199-€249",2, L10="Under €199",1,L10="€249-€399",3,L10="Over €399",4)</f>
        <v>2</v>
      </c>
      <c r="N10" s="2" t="s">
        <v>89</v>
      </c>
      <c r="O10" s="45" cm="1">
        <f t="array" ref="O10">_xlfn.IFS(N10="Yes, currently own one",1,N10="Yes, but no longer use it",2,N10="No, I’ve never owned one",3)</f>
        <v>2</v>
      </c>
      <c r="P10" s="2" t="s">
        <v>61</v>
      </c>
    </row>
    <row r="11" spans="1:16" ht="16" customHeight="1" x14ac:dyDescent="0.35">
      <c r="A11" s="8">
        <v>10</v>
      </c>
      <c r="B11" s="7" t="s">
        <v>48</v>
      </c>
      <c r="C11" s="44" cm="1">
        <f t="array" ref="C11">IF(B11="Daily",1,IF(B11="Weekly",2,IF(B11="Occasionally",3,IF(B="Rarely or Never",4,""))))</f>
        <v>1</v>
      </c>
      <c r="D11" s="47" t="s">
        <v>49</v>
      </c>
      <c r="E11" s="47" cm="1">
        <f t="array" ref="E11">_xlfn.IFS(D11="18 - 24", 1, D11="25 - 34", 2, D11="35 - 44", 3, D11="45 - 54", 4)</f>
        <v>2</v>
      </c>
      <c r="F11" s="7" t="s">
        <v>50</v>
      </c>
      <c r="G11" s="44">
        <f t="shared" si="0"/>
        <v>1</v>
      </c>
      <c r="H11" s="2" t="s">
        <v>51</v>
      </c>
      <c r="I11" s="44" cm="1">
        <f t="array" ref="I11">_xlfn.IFS(H11="Ireland",1,H11="India",2,H11="EU(other than Ireland)",3,H11="UK",4)</f>
        <v>1</v>
      </c>
      <c r="J11" s="2" t="s">
        <v>52</v>
      </c>
      <c r="K11" s="44">
        <f t="shared" si="1"/>
        <v>1</v>
      </c>
      <c r="L11" s="2" t="s">
        <v>84</v>
      </c>
      <c r="M11" s="44" cm="1">
        <f t="array" ref="M11">_xlfn.IFS(L11="€199-€249",2, L11="Under €199",1,L11="€249-€399",3,L11="Over €399",4)</f>
        <v>3</v>
      </c>
      <c r="N11" s="2" t="s">
        <v>54</v>
      </c>
      <c r="O11" s="45" cm="1">
        <f t="array" ref="O11">_xlfn.IFS(N11="Yes, currently own one",1,N11="Yes, but no longer use it",2,N11="No, I’ve never owned one",3)</f>
        <v>1</v>
      </c>
      <c r="P11" s="2" t="s">
        <v>85</v>
      </c>
    </row>
    <row r="12" spans="1:16" ht="16" customHeight="1" x14ac:dyDescent="0.35">
      <c r="A12" s="8">
        <v>11</v>
      </c>
      <c r="B12" s="7" t="s">
        <v>58</v>
      </c>
      <c r="C12" s="44" cm="1">
        <f t="array" ref="C12">IF(B12="Daily",1,IF(B12="Weekly",2,IF(B12="Occasionally",3,IF(B="Rarely or Never",4,""))))</f>
        <v>2</v>
      </c>
      <c r="D12" s="47" t="s">
        <v>59</v>
      </c>
      <c r="E12" s="47" cm="1">
        <f t="array" ref="E12">_xlfn.IFS(D12="18 - 24", 1, D12="25 - 34", 2, D12="35 - 44", 3, D12="45 - 54", 4)</f>
        <v>1</v>
      </c>
      <c r="F12" s="7" t="s">
        <v>50</v>
      </c>
      <c r="G12" s="44">
        <f t="shared" si="0"/>
        <v>1</v>
      </c>
      <c r="H12" s="2" t="s">
        <v>51</v>
      </c>
      <c r="I12" s="44" cm="1">
        <f t="array" ref="I12">_xlfn.IFS(H12="Ireland",1,H12="India",2,H12="EU(other than Ireland)",3,H12="UK",4)</f>
        <v>1</v>
      </c>
      <c r="J12" s="2" t="s">
        <v>52</v>
      </c>
      <c r="K12" s="44">
        <f t="shared" si="1"/>
        <v>1</v>
      </c>
      <c r="L12" s="2" t="s">
        <v>53</v>
      </c>
      <c r="M12" s="44" cm="1">
        <f t="array" ref="M12">_xlfn.IFS(L12="€199-€249",2, L12="Under €199",1,L12="€249-€399",3,L12="Over €399",4)</f>
        <v>2</v>
      </c>
      <c r="N12" s="2" t="s">
        <v>54</v>
      </c>
      <c r="O12" s="45" cm="1">
        <f t="array" ref="O12">_xlfn.IFS(N12="Yes, currently own one",1,N12="Yes, but no longer use it",2,N12="No, I’ve never owned one",3)</f>
        <v>1</v>
      </c>
      <c r="P12" s="2" t="s">
        <v>85</v>
      </c>
    </row>
    <row r="13" spans="1:16" ht="16" customHeight="1" x14ac:dyDescent="0.35">
      <c r="A13" s="8">
        <v>12</v>
      </c>
      <c r="B13" s="7" t="s">
        <v>94</v>
      </c>
      <c r="C13" s="44">
        <f>IF(B13="Daily",1,IF(B13="Weekly",2,IF(B13="Occasionally",3,IF(B13="Rarely or Never",4,""))))</f>
        <v>4</v>
      </c>
      <c r="D13" s="47" t="s">
        <v>49</v>
      </c>
      <c r="E13" s="47" cm="1">
        <f t="array" ref="E13">_xlfn.IFS(D13="18 - 24", 1, D13="25 - 34", 2, D13="35 - 44", 3, D13="45 - 54", 4)</f>
        <v>2</v>
      </c>
      <c r="F13" s="7" t="s">
        <v>50</v>
      </c>
      <c r="G13" s="44">
        <f t="shared" si="0"/>
        <v>1</v>
      </c>
      <c r="H13" s="2" t="s">
        <v>51</v>
      </c>
      <c r="I13" s="44" cm="1">
        <f t="array" ref="I13">_xlfn.IFS(H13="Ireland",1,H13="India",2,H13="EU(other than Ireland)",3,H13="UK",4)</f>
        <v>1</v>
      </c>
      <c r="J13" s="2" t="s">
        <v>52</v>
      </c>
      <c r="K13" s="44">
        <f t="shared" si="1"/>
        <v>1</v>
      </c>
      <c r="L13" s="2" t="s">
        <v>60</v>
      </c>
      <c r="M13" s="44" cm="1">
        <f t="array" ref="M13">_xlfn.IFS(L13="€199-€249",2, L13="Under €199",1,L13="€249-€399",3,L13="Over €399",4)</f>
        <v>1</v>
      </c>
      <c r="N13" s="2" t="s">
        <v>95</v>
      </c>
      <c r="O13" s="45" cm="1">
        <f t="array" ref="O13">_xlfn.IFS(N13="Yes, currently own one",1,N13="Yes, but no longer use it",2,N13="No, I’ve never owned one",3)</f>
        <v>3</v>
      </c>
      <c r="P13" s="2" t="s">
        <v>68</v>
      </c>
    </row>
    <row r="14" spans="1:16" ht="16" customHeight="1" x14ac:dyDescent="0.35">
      <c r="A14" s="8">
        <v>13</v>
      </c>
      <c r="B14" s="7" t="s">
        <v>94</v>
      </c>
      <c r="C14" s="44">
        <f>IF(B14="Daily",1,IF(B14="Weekly",2,IF(B14="Occasionally",3,IF(B14="Rarely or Never",4,""))))</f>
        <v>4</v>
      </c>
      <c r="D14" s="47" t="s">
        <v>59</v>
      </c>
      <c r="E14" s="47" cm="1">
        <f t="array" ref="E14">_xlfn.IFS(D14="18 - 24", 1, D14="25 - 34", 2, D14="35 - 44", 3, D14="45 - 54", 4)</f>
        <v>1</v>
      </c>
      <c r="F14" s="7" t="s">
        <v>50</v>
      </c>
      <c r="G14" s="44">
        <f t="shared" si="0"/>
        <v>1</v>
      </c>
      <c r="H14" s="2" t="s">
        <v>51</v>
      </c>
      <c r="I14" s="44" cm="1">
        <f t="array" ref="I14">_xlfn.IFS(H14="Ireland",1,H14="India",2,H14="EU(other than Ireland)",3,H14="UK",4)</f>
        <v>1</v>
      </c>
      <c r="J14" s="2" t="s">
        <v>52</v>
      </c>
      <c r="K14" s="44">
        <f t="shared" si="1"/>
        <v>1</v>
      </c>
      <c r="L14" s="2" t="s">
        <v>60</v>
      </c>
      <c r="M14" s="44" cm="1">
        <f t="array" ref="M14">_xlfn.IFS(L14="€199-€249",2, L14="Under €199",1,L14="€249-€399",3,L14="Over €399",4)</f>
        <v>1</v>
      </c>
      <c r="N14" s="2" t="s">
        <v>95</v>
      </c>
      <c r="O14" s="45" cm="1">
        <f t="array" ref="O14">_xlfn.IFS(N14="Yes, currently own one",1,N14="Yes, but no longer use it",2,N14="No, I’ve never owned one",3)</f>
        <v>3</v>
      </c>
      <c r="P14" s="2" t="s">
        <v>98</v>
      </c>
    </row>
    <row r="15" spans="1:16" ht="16" customHeight="1" x14ac:dyDescent="0.35">
      <c r="A15" s="8">
        <v>14</v>
      </c>
      <c r="B15" s="7" t="s">
        <v>88</v>
      </c>
      <c r="C15" s="44">
        <f t="shared" ref="C15:C57" si="2">IF(B15="Daily",1,IF(B15="Weekly",2,IF(B15="Occasionally",3,IF(B15="Rarely or Never",4,""))))</f>
        <v>3</v>
      </c>
      <c r="D15" s="47" t="s">
        <v>49</v>
      </c>
      <c r="E15" s="47" cm="1">
        <f t="array" ref="E15">_xlfn.IFS(D15="18 - 24", 1, D15="25 - 34", 2, D15="35 - 44", 3, D15="45 - 54", 4)</f>
        <v>2</v>
      </c>
      <c r="F15" s="7" t="s">
        <v>50</v>
      </c>
      <c r="G15" s="44">
        <f t="shared" si="0"/>
        <v>1</v>
      </c>
      <c r="H15" s="2" t="s">
        <v>51</v>
      </c>
      <c r="I15" s="44" cm="1">
        <f t="array" ref="I15">_xlfn.IFS(H15="Ireland",1,H15="India",2,H15="EU(other than Ireland)",3,H15="UK",4)</f>
        <v>1</v>
      </c>
      <c r="J15" s="2" t="s">
        <v>52</v>
      </c>
      <c r="K15" s="44">
        <f t="shared" si="1"/>
        <v>1</v>
      </c>
      <c r="L15" s="2" t="s">
        <v>53</v>
      </c>
      <c r="M15" s="44" cm="1">
        <f t="array" ref="M15">_xlfn.IFS(L15="€199-€249",2, L15="Under €199",1,L15="€249-€399",3,L15="Over €399",4)</f>
        <v>2</v>
      </c>
      <c r="N15" s="2" t="s">
        <v>89</v>
      </c>
      <c r="O15" s="45" cm="1">
        <f t="array" ref="O15">_xlfn.IFS(N15="Yes, currently own one",1,N15="Yes, but no longer use it",2,N15="No, I’ve never owned one",3)</f>
        <v>2</v>
      </c>
      <c r="P15" s="2" t="s">
        <v>71</v>
      </c>
    </row>
    <row r="16" spans="1:16" ht="16" customHeight="1" x14ac:dyDescent="0.35">
      <c r="A16" s="8">
        <v>15</v>
      </c>
      <c r="B16" s="7" t="s">
        <v>88</v>
      </c>
      <c r="C16" s="44">
        <f t="shared" si="2"/>
        <v>3</v>
      </c>
      <c r="D16" s="47" t="s">
        <v>59</v>
      </c>
      <c r="E16" s="47" cm="1">
        <f t="array" ref="E16">_xlfn.IFS(D16="18 - 24", 1, D16="25 - 34", 2, D16="35 - 44", 3, D16="45 - 54", 4)</f>
        <v>1</v>
      </c>
      <c r="F16" s="7" t="s">
        <v>50</v>
      </c>
      <c r="G16" s="44">
        <f t="shared" si="0"/>
        <v>1</v>
      </c>
      <c r="H16" s="2" t="s">
        <v>270</v>
      </c>
      <c r="I16" s="44" cm="1">
        <f t="array" ref="I16">_xlfn.IFS(H16="Ireland",1,H16="India",2,H16="EU(other than Ireland)",3,H16="UK",4)</f>
        <v>2</v>
      </c>
      <c r="J16" s="2" t="s">
        <v>52</v>
      </c>
      <c r="K16" s="44">
        <f t="shared" si="1"/>
        <v>1</v>
      </c>
      <c r="L16" s="2" t="s">
        <v>60</v>
      </c>
      <c r="M16" s="44" cm="1">
        <f t="array" ref="M16">_xlfn.IFS(L16="€199-€249",2, L16="Under €199",1,L16="€249-€399",3,L16="Over €399",4)</f>
        <v>1</v>
      </c>
      <c r="N16" s="2" t="s">
        <v>95</v>
      </c>
      <c r="O16" s="45" cm="1">
        <f t="array" ref="O16">_xlfn.IFS(N16="Yes, currently own one",1,N16="Yes, but no longer use it",2,N16="No, I’ve never owned one",3)</f>
        <v>3</v>
      </c>
      <c r="P16" s="2" t="s">
        <v>68</v>
      </c>
    </row>
    <row r="17" spans="1:16" ht="16" customHeight="1" x14ac:dyDescent="0.35">
      <c r="A17" s="8">
        <v>16</v>
      </c>
      <c r="B17" s="7" t="s">
        <v>58</v>
      </c>
      <c r="C17" s="44">
        <f t="shared" si="2"/>
        <v>2</v>
      </c>
      <c r="D17" s="47" t="s">
        <v>49</v>
      </c>
      <c r="E17" s="47" cm="1">
        <f t="array" ref="E17">_xlfn.IFS(D17="18 - 24", 1, D17="25 - 34", 2, D17="35 - 44", 3, D17="45 - 54", 4)</f>
        <v>2</v>
      </c>
      <c r="F17" s="7" t="s">
        <v>50</v>
      </c>
      <c r="G17" s="44">
        <f t="shared" si="0"/>
        <v>1</v>
      </c>
      <c r="H17" s="2" t="s">
        <v>51</v>
      </c>
      <c r="I17" s="44" cm="1">
        <f t="array" ref="I17">_xlfn.IFS(H17="Ireland",1,H17="India",2,H17="EU(other than Ireland)",3,H17="UK",4)</f>
        <v>1</v>
      </c>
      <c r="J17" s="2" t="s">
        <v>52</v>
      </c>
      <c r="K17" s="44">
        <f t="shared" si="1"/>
        <v>1</v>
      </c>
      <c r="L17" s="2" t="s">
        <v>60</v>
      </c>
      <c r="M17" s="44" cm="1">
        <f t="array" ref="M17">_xlfn.IFS(L17="€199-€249",2, L17="Under €199",1,L17="€249-€399",3,L17="Over €399",4)</f>
        <v>1</v>
      </c>
      <c r="N17" s="2" t="s">
        <v>89</v>
      </c>
      <c r="O17" s="45" cm="1">
        <f t="array" ref="O17">_xlfn.IFS(N17="Yes, currently own one",1,N17="Yes, but no longer use it",2,N17="No, I’ve never owned one",3)</f>
        <v>2</v>
      </c>
      <c r="P17" s="2" t="s">
        <v>71</v>
      </c>
    </row>
    <row r="18" spans="1:16" ht="16" customHeight="1" x14ac:dyDescent="0.35">
      <c r="A18" s="8">
        <v>17</v>
      </c>
      <c r="B18" s="7" t="s">
        <v>94</v>
      </c>
      <c r="C18" s="44">
        <f t="shared" si="2"/>
        <v>4</v>
      </c>
      <c r="D18" s="47" t="s">
        <v>59</v>
      </c>
      <c r="E18" s="47" cm="1">
        <f t="array" ref="E18">_xlfn.IFS(D18="18 - 24", 1, D18="25 - 34", 2, D18="35 - 44", 3, D18="45 - 54", 4)</f>
        <v>1</v>
      </c>
      <c r="F18" s="7" t="s">
        <v>50</v>
      </c>
      <c r="G18" s="44">
        <f t="shared" si="0"/>
        <v>1</v>
      </c>
      <c r="H18" s="2" t="s">
        <v>51</v>
      </c>
      <c r="I18" s="44" cm="1">
        <f t="array" ref="I18">_xlfn.IFS(H18="Ireland",1,H18="India",2,H18="EU(other than Ireland)",3,H18="UK",4)</f>
        <v>1</v>
      </c>
      <c r="J18" s="2" t="s">
        <v>52</v>
      </c>
      <c r="K18" s="44">
        <f t="shared" si="1"/>
        <v>1</v>
      </c>
      <c r="L18" s="2" t="s">
        <v>53</v>
      </c>
      <c r="M18" s="44" cm="1">
        <f t="array" ref="M18">_xlfn.IFS(L18="€199-€249",2, L18="Under €199",1,L18="€249-€399",3,L18="Over €399",4)</f>
        <v>2</v>
      </c>
      <c r="N18" s="2" t="s">
        <v>89</v>
      </c>
      <c r="O18" s="45" cm="1">
        <f t="array" ref="O18">_xlfn.IFS(N18="Yes, currently own one",1,N18="Yes, but no longer use it",2,N18="No, I’ve never owned one",3)</f>
        <v>2</v>
      </c>
      <c r="P18" s="2" t="s">
        <v>71</v>
      </c>
    </row>
    <row r="19" spans="1:16" ht="16" customHeight="1" x14ac:dyDescent="0.35">
      <c r="A19" s="8">
        <v>18</v>
      </c>
      <c r="B19" s="7" t="s">
        <v>88</v>
      </c>
      <c r="C19" s="44">
        <f t="shared" si="2"/>
        <v>3</v>
      </c>
      <c r="D19" s="47" t="s">
        <v>49</v>
      </c>
      <c r="E19" s="47" cm="1">
        <f t="array" ref="E19">_xlfn.IFS(D19="18 - 24", 1, D19="25 - 34", 2, D19="35 - 44", 3, D19="45 - 54", 4)</f>
        <v>2</v>
      </c>
      <c r="F19" s="7" t="s">
        <v>50</v>
      </c>
      <c r="G19" s="44">
        <f t="shared" si="0"/>
        <v>1</v>
      </c>
      <c r="H19" s="2" t="s">
        <v>51</v>
      </c>
      <c r="I19" s="44" cm="1">
        <f t="array" ref="I19">_xlfn.IFS(H19="Ireland",1,H19="India",2,H19="EU(other than Ireland)",3,H19="UK",4)</f>
        <v>1</v>
      </c>
      <c r="J19" s="2" t="s">
        <v>52</v>
      </c>
      <c r="K19" s="44">
        <f t="shared" si="1"/>
        <v>1</v>
      </c>
      <c r="L19" s="2" t="s">
        <v>53</v>
      </c>
      <c r="M19" s="44" cm="1">
        <f t="array" ref="M19">_xlfn.IFS(L19="€199-€249",2, L19="Under €199",1,L19="€249-€399",3,L19="Over €399",4)</f>
        <v>2</v>
      </c>
      <c r="N19" s="2" t="s">
        <v>54</v>
      </c>
      <c r="O19" s="45" cm="1">
        <f t="array" ref="O19">_xlfn.IFS(N19="Yes, currently own one",1,N19="Yes, but no longer use it",2,N19="No, I’ve never owned one",3)</f>
        <v>1</v>
      </c>
      <c r="P19" s="2" t="s">
        <v>68</v>
      </c>
    </row>
    <row r="20" spans="1:16" ht="16" customHeight="1" x14ac:dyDescent="0.35">
      <c r="A20" s="8">
        <v>19</v>
      </c>
      <c r="B20" s="7" t="s">
        <v>88</v>
      </c>
      <c r="C20" s="44">
        <f t="shared" si="2"/>
        <v>3</v>
      </c>
      <c r="D20" s="47" t="s">
        <v>59</v>
      </c>
      <c r="E20" s="47" cm="1">
        <f t="array" ref="E20">_xlfn.IFS(D20="18 - 24", 1, D20="25 - 34", 2, D20="35 - 44", 3, D20="45 - 54", 4)</f>
        <v>1</v>
      </c>
      <c r="F20" s="7" t="s">
        <v>50</v>
      </c>
      <c r="G20" s="44">
        <f t="shared" si="0"/>
        <v>1</v>
      </c>
      <c r="H20" s="2" t="s">
        <v>51</v>
      </c>
      <c r="I20" s="44" cm="1">
        <f t="array" ref="I20">_xlfn.IFS(H20="Ireland",1,H20="India",2,H20="EU(other than Ireland)",3,H20="UK",4)</f>
        <v>1</v>
      </c>
      <c r="J20" s="2" t="s">
        <v>52</v>
      </c>
      <c r="K20" s="44">
        <f t="shared" si="1"/>
        <v>1</v>
      </c>
      <c r="L20" s="2" t="s">
        <v>53</v>
      </c>
      <c r="M20" s="44" cm="1">
        <f t="array" ref="M20">_xlfn.IFS(L20="€199-€249",2, L20="Under €199",1,L20="€249-€399",3,L20="Over €399",4)</f>
        <v>2</v>
      </c>
      <c r="N20" s="2" t="s">
        <v>54</v>
      </c>
      <c r="O20" s="45" cm="1">
        <f t="array" ref="O20">_xlfn.IFS(N20="Yes, currently own one",1,N20="Yes, but no longer use it",2,N20="No, I’ve never owned one",3)</f>
        <v>1</v>
      </c>
      <c r="P20" s="2" t="s">
        <v>61</v>
      </c>
    </row>
    <row r="21" spans="1:16" ht="16" customHeight="1" x14ac:dyDescent="0.35">
      <c r="A21" s="8">
        <v>20</v>
      </c>
      <c r="B21" s="7" t="s">
        <v>94</v>
      </c>
      <c r="C21" s="44">
        <f t="shared" si="2"/>
        <v>4</v>
      </c>
      <c r="D21" s="47" t="s">
        <v>59</v>
      </c>
      <c r="E21" s="47" cm="1">
        <f t="array" ref="E21">_xlfn.IFS(D21="18 - 24", 1, D21="25 - 34", 2, D21="35 - 44", 3, D21="45 - 54", 4)</f>
        <v>1</v>
      </c>
      <c r="F21" s="7" t="s">
        <v>50</v>
      </c>
      <c r="G21" s="44">
        <f t="shared" si="0"/>
        <v>1</v>
      </c>
      <c r="H21" s="2" t="s">
        <v>51</v>
      </c>
      <c r="I21" s="44" cm="1">
        <f t="array" ref="I21">_xlfn.IFS(H21="Ireland",1,H21="India",2,H21="EU(other than Ireland)",3,H21="UK",4)</f>
        <v>1</v>
      </c>
      <c r="J21" s="2" t="s">
        <v>52</v>
      </c>
      <c r="K21" s="44">
        <f t="shared" si="1"/>
        <v>1</v>
      </c>
      <c r="L21" s="2" t="s">
        <v>60</v>
      </c>
      <c r="M21" s="44" cm="1">
        <f t="array" ref="M21">_xlfn.IFS(L21="€199-€249",2, L21="Under €199",1,L21="€249-€399",3,L21="Over €399",4)</f>
        <v>1</v>
      </c>
      <c r="N21" s="2" t="s">
        <v>89</v>
      </c>
      <c r="O21" s="45" cm="1">
        <f t="array" ref="O21">_xlfn.IFS(N21="Yes, currently own one",1,N21="Yes, but no longer use it",2,N21="No, I’ve never owned one",3)</f>
        <v>2</v>
      </c>
      <c r="P21" s="2" t="s">
        <v>71</v>
      </c>
    </row>
    <row r="22" spans="1:16" ht="16" customHeight="1" x14ac:dyDescent="0.35">
      <c r="A22" s="8">
        <v>21</v>
      </c>
      <c r="B22" s="7" t="s">
        <v>58</v>
      </c>
      <c r="C22" s="44">
        <f t="shared" si="2"/>
        <v>2</v>
      </c>
      <c r="D22" s="47" t="s">
        <v>49</v>
      </c>
      <c r="E22" s="47" cm="1">
        <f t="array" ref="E22">_xlfn.IFS(D22="18 - 24", 1, D22="25 - 34", 2, D22="35 - 44", 3, D22="45 - 54", 4)</f>
        <v>2</v>
      </c>
      <c r="F22" s="7" t="s">
        <v>50</v>
      </c>
      <c r="G22" s="44">
        <f t="shared" si="0"/>
        <v>1</v>
      </c>
      <c r="H22" s="2" t="s">
        <v>51</v>
      </c>
      <c r="I22" s="44" cm="1">
        <f t="array" ref="I22">_xlfn.IFS(H22="Ireland",1,H22="India",2,H22="EU(other than Ireland)",3,H22="UK",4)</f>
        <v>1</v>
      </c>
      <c r="J22" s="2" t="s">
        <v>52</v>
      </c>
      <c r="K22" s="44">
        <f t="shared" si="1"/>
        <v>1</v>
      </c>
      <c r="L22" s="2" t="s">
        <v>60</v>
      </c>
      <c r="M22" s="44" cm="1">
        <f t="array" ref="M22">_xlfn.IFS(L22="€199-€249",2, L22="Under €199",1,L22="€249-€399",3,L22="Over €399",4)</f>
        <v>1</v>
      </c>
      <c r="N22" s="2" t="s">
        <v>89</v>
      </c>
      <c r="O22" s="45" cm="1">
        <f t="array" ref="O22">_xlfn.IFS(N22="Yes, currently own one",1,N22="Yes, but no longer use it",2,N22="No, I’ve never owned one",3)</f>
        <v>2</v>
      </c>
      <c r="P22" s="2" t="s">
        <v>68</v>
      </c>
    </row>
    <row r="23" spans="1:16" ht="16" customHeight="1" x14ac:dyDescent="0.35">
      <c r="A23" s="8">
        <v>22</v>
      </c>
      <c r="B23" s="7" t="s">
        <v>48</v>
      </c>
      <c r="C23" s="44">
        <f t="shared" si="2"/>
        <v>1</v>
      </c>
      <c r="D23" s="47" t="s">
        <v>59</v>
      </c>
      <c r="E23" s="47" cm="1">
        <f t="array" ref="E23">_xlfn.IFS(D23="18 - 24", 1, D23="25 - 34", 2, D23="35 - 44", 3, D23="45 - 54", 4)</f>
        <v>1</v>
      </c>
      <c r="F23" s="7" t="s">
        <v>50</v>
      </c>
      <c r="G23" s="44">
        <f t="shared" si="0"/>
        <v>1</v>
      </c>
      <c r="H23" s="2" t="s">
        <v>270</v>
      </c>
      <c r="I23" s="44" cm="1">
        <f t="array" ref="I23">_xlfn.IFS(H23="Ireland",1,H23="India",2,H23="EU(other than Ireland)",3,H23="UK",4)</f>
        <v>2</v>
      </c>
      <c r="J23" s="2" t="s">
        <v>52</v>
      </c>
      <c r="K23" s="44">
        <f t="shared" si="1"/>
        <v>1</v>
      </c>
      <c r="L23" s="2" t="s">
        <v>53</v>
      </c>
      <c r="M23" s="44" cm="1">
        <f t="array" ref="M23">_xlfn.IFS(L23="€199-€249",2, L23="Under €199",1,L23="€249-€399",3,L23="Over €399",4)</f>
        <v>2</v>
      </c>
      <c r="N23" s="2" t="s">
        <v>95</v>
      </c>
      <c r="O23" s="45" cm="1">
        <f t="array" ref="O23">_xlfn.IFS(N23="Yes, currently own one",1,N23="Yes, but no longer use it",2,N23="No, I’ve never owned one",3)</f>
        <v>3</v>
      </c>
      <c r="P23" s="2" t="s">
        <v>68</v>
      </c>
    </row>
    <row r="24" spans="1:16" ht="16" customHeight="1" x14ac:dyDescent="0.35">
      <c r="A24" s="8">
        <v>23</v>
      </c>
      <c r="B24" s="7" t="s">
        <v>48</v>
      </c>
      <c r="C24" s="44">
        <f t="shared" si="2"/>
        <v>1</v>
      </c>
      <c r="D24" s="47" t="s">
        <v>49</v>
      </c>
      <c r="E24" s="47" cm="1">
        <f t="array" ref="E24">_xlfn.IFS(D24="18 - 24", 1, D24="25 - 34", 2, D24="35 - 44", 3, D24="45 - 54", 4)</f>
        <v>2</v>
      </c>
      <c r="F24" s="7" t="s">
        <v>50</v>
      </c>
      <c r="G24" s="44">
        <f t="shared" si="0"/>
        <v>1</v>
      </c>
      <c r="H24" s="2" t="s">
        <v>270</v>
      </c>
      <c r="I24" s="44" cm="1">
        <f t="array" ref="I24">_xlfn.IFS(H24="Ireland",1,H24="India",2,H24="EU(other than Ireland)",3,H24="UK",4)</f>
        <v>2</v>
      </c>
      <c r="J24" s="2" t="s">
        <v>67</v>
      </c>
      <c r="K24" s="44">
        <f t="shared" si="1"/>
        <v>0</v>
      </c>
      <c r="L24" s="2" t="s">
        <v>53</v>
      </c>
      <c r="M24" s="44" cm="1">
        <f t="array" ref="M24">_xlfn.IFS(L24="€199-€249",2, L24="Under €199",1,L24="€249-€399",3,L24="Over €399",4)</f>
        <v>2</v>
      </c>
      <c r="N24" s="2" t="s">
        <v>54</v>
      </c>
      <c r="O24" s="45" cm="1">
        <f t="array" ref="O24">_xlfn.IFS(N24="Yes, currently own one",1,N24="Yes, but no longer use it",2,N24="No, I’ve never owned one",3)</f>
        <v>1</v>
      </c>
      <c r="P24" s="2" t="s">
        <v>98</v>
      </c>
    </row>
    <row r="25" spans="1:16" ht="16" customHeight="1" x14ac:dyDescent="0.35">
      <c r="A25" s="8">
        <v>24</v>
      </c>
      <c r="B25" s="7" t="s">
        <v>48</v>
      </c>
      <c r="C25" s="44">
        <f t="shared" si="2"/>
        <v>1</v>
      </c>
      <c r="D25" s="47" t="s">
        <v>80</v>
      </c>
      <c r="E25" s="47" cm="1">
        <f t="array" ref="E25">_xlfn.IFS(D25="18 - 24", 1, D25="25 - 34", 2, D25="35 - 44", 3, D25="45 - 54", 4)</f>
        <v>3</v>
      </c>
      <c r="F25" s="7" t="s">
        <v>50</v>
      </c>
      <c r="G25" s="44">
        <f t="shared" si="0"/>
        <v>1</v>
      </c>
      <c r="H25" s="2" t="s">
        <v>270</v>
      </c>
      <c r="I25" s="44" cm="1">
        <f t="array" ref="I25">_xlfn.IFS(H25="Ireland",1,H25="India",2,H25="EU(other than Ireland)",3,H25="UK",4)</f>
        <v>2</v>
      </c>
      <c r="J25" s="2" t="s">
        <v>67</v>
      </c>
      <c r="K25" s="44">
        <f t="shared" si="1"/>
        <v>0</v>
      </c>
      <c r="L25" s="2" t="s">
        <v>53</v>
      </c>
      <c r="M25" s="44" cm="1">
        <f t="array" ref="M25">_xlfn.IFS(L25="€199-€249",2, L25="Under €199",1,L25="€249-€399",3,L25="Over €399",4)</f>
        <v>2</v>
      </c>
      <c r="N25" s="2" t="s">
        <v>54</v>
      </c>
      <c r="O25" s="45" cm="1">
        <f t="array" ref="O25">_xlfn.IFS(N25="Yes, currently own one",1,N25="Yes, but no longer use it",2,N25="No, I’ve never owned one",3)</f>
        <v>1</v>
      </c>
      <c r="P25" s="2" t="s">
        <v>75</v>
      </c>
    </row>
    <row r="26" spans="1:16" ht="16" customHeight="1" x14ac:dyDescent="0.35">
      <c r="A26" s="8">
        <v>25</v>
      </c>
      <c r="B26" s="7" t="s">
        <v>48</v>
      </c>
      <c r="C26" s="44">
        <f t="shared" si="2"/>
        <v>1</v>
      </c>
      <c r="D26" s="47" t="s">
        <v>59</v>
      </c>
      <c r="E26" s="47" cm="1">
        <f t="array" ref="E26">_xlfn.IFS(D26="18 - 24", 1, D26="25 - 34", 2, D26="35 - 44", 3, D26="45 - 54", 4)</f>
        <v>1</v>
      </c>
      <c r="F26" s="7" t="s">
        <v>50</v>
      </c>
      <c r="G26" s="44">
        <f t="shared" si="0"/>
        <v>1</v>
      </c>
      <c r="H26" s="2" t="s">
        <v>270</v>
      </c>
      <c r="I26" s="44" cm="1">
        <f t="array" ref="I26">_xlfn.IFS(H26="Ireland",1,H26="India",2,H26="EU(other than Ireland)",3,H26="UK",4)</f>
        <v>2</v>
      </c>
      <c r="J26" s="2" t="s">
        <v>52</v>
      </c>
      <c r="K26" s="44">
        <f t="shared" si="1"/>
        <v>1</v>
      </c>
      <c r="L26" s="2" t="s">
        <v>53</v>
      </c>
      <c r="M26" s="44" cm="1">
        <f t="array" ref="M26">_xlfn.IFS(L26="€199-€249",2, L26="Under €199",1,L26="€249-€399",3,L26="Over €399",4)</f>
        <v>2</v>
      </c>
      <c r="N26" s="2" t="s">
        <v>54</v>
      </c>
      <c r="O26" s="45" cm="1">
        <f t="array" ref="O26">_xlfn.IFS(N26="Yes, currently own one",1,N26="Yes, but no longer use it",2,N26="No, I’ve never owned one",3)</f>
        <v>1</v>
      </c>
      <c r="P26" s="2" t="s">
        <v>71</v>
      </c>
    </row>
    <row r="27" spans="1:16" ht="16" customHeight="1" x14ac:dyDescent="0.35">
      <c r="A27" s="8">
        <v>26</v>
      </c>
      <c r="B27" s="7" t="s">
        <v>88</v>
      </c>
      <c r="C27" s="44">
        <f t="shared" si="2"/>
        <v>3</v>
      </c>
      <c r="D27" s="47" t="s">
        <v>49</v>
      </c>
      <c r="E27" s="47" cm="1">
        <f t="array" ref="E27">_xlfn.IFS(D27="18 - 24", 1, D27="25 - 34", 2, D27="35 - 44", 3, D27="45 - 54", 4)</f>
        <v>2</v>
      </c>
      <c r="F27" s="7" t="s">
        <v>50</v>
      </c>
      <c r="G27" s="44">
        <f t="shared" si="0"/>
        <v>1</v>
      </c>
      <c r="H27" s="2" t="s">
        <v>270</v>
      </c>
      <c r="I27" s="44" cm="1">
        <f t="array" ref="I27">_xlfn.IFS(H27="Ireland",1,H27="India",2,H27="EU(other than Ireland)",3,H27="UK",4)</f>
        <v>2</v>
      </c>
      <c r="J27" s="2" t="s">
        <v>67</v>
      </c>
      <c r="K27" s="44">
        <f t="shared" si="1"/>
        <v>0</v>
      </c>
      <c r="L27" s="2" t="s">
        <v>60</v>
      </c>
      <c r="M27" s="44" cm="1">
        <f t="array" ref="M27">_xlfn.IFS(L27="€199-€249",2, L27="Under €199",1,L27="€249-€399",3,L27="Over €399",4)</f>
        <v>1</v>
      </c>
      <c r="N27" s="2" t="s">
        <v>89</v>
      </c>
      <c r="O27" s="45" cm="1">
        <f t="array" ref="O27">_xlfn.IFS(N27="Yes, currently own one",1,N27="Yes, but no longer use it",2,N27="No, I’ve never owned one",3)</f>
        <v>2</v>
      </c>
      <c r="P27" s="2" t="s">
        <v>68</v>
      </c>
    </row>
    <row r="28" spans="1:16" ht="16" customHeight="1" x14ac:dyDescent="0.35">
      <c r="A28" s="8">
        <v>27</v>
      </c>
      <c r="B28" s="7" t="s">
        <v>88</v>
      </c>
      <c r="C28" s="44">
        <f t="shared" si="2"/>
        <v>3</v>
      </c>
      <c r="D28" s="47" t="s">
        <v>59</v>
      </c>
      <c r="E28" s="47" cm="1">
        <f t="array" ref="E28">_xlfn.IFS(D28="18 - 24", 1, D28="25 - 34", 2, D28="35 - 44", 3, D28="45 - 54", 4)</f>
        <v>1</v>
      </c>
      <c r="F28" s="7" t="s">
        <v>50</v>
      </c>
      <c r="G28" s="44">
        <f t="shared" si="0"/>
        <v>1</v>
      </c>
      <c r="H28" s="2" t="s">
        <v>127</v>
      </c>
      <c r="I28" s="44">
        <v>3</v>
      </c>
      <c r="J28" s="2" t="s">
        <v>52</v>
      </c>
      <c r="K28" s="44">
        <f t="shared" si="1"/>
        <v>1</v>
      </c>
      <c r="L28" s="2" t="s">
        <v>53</v>
      </c>
      <c r="M28" s="44" cm="1">
        <f t="array" ref="M28">_xlfn.IFS(L28="€199-€249",2, L28="Under €199",1,L28="€249-€399",3,L28="Over €399",4)</f>
        <v>2</v>
      </c>
      <c r="N28" s="2" t="s">
        <v>89</v>
      </c>
      <c r="O28" s="45" cm="1">
        <f t="array" ref="O28">_xlfn.IFS(N28="Yes, currently own one",1,N28="Yes, but no longer use it",2,N28="No, I’ve never owned one",3)</f>
        <v>2</v>
      </c>
      <c r="P28" s="2" t="s">
        <v>128</v>
      </c>
    </row>
    <row r="29" spans="1:16" ht="16" customHeight="1" x14ac:dyDescent="0.35">
      <c r="A29" s="8">
        <v>28</v>
      </c>
      <c r="B29" s="7" t="s">
        <v>88</v>
      </c>
      <c r="C29" s="44">
        <f t="shared" si="2"/>
        <v>3</v>
      </c>
      <c r="D29" s="47" t="s">
        <v>49</v>
      </c>
      <c r="E29" s="47" cm="1">
        <f t="array" ref="E29">_xlfn.IFS(D29="18 - 24", 1, D29="25 - 34", 2, D29="35 - 44", 3, D29="45 - 54", 4)</f>
        <v>2</v>
      </c>
      <c r="F29" s="7" t="s">
        <v>81</v>
      </c>
      <c r="G29" s="44">
        <f t="shared" si="0"/>
        <v>0</v>
      </c>
      <c r="H29" s="2" t="s">
        <v>51</v>
      </c>
      <c r="I29" s="44" cm="1">
        <f t="array" ref="I29">_xlfn.IFS(H29="Ireland",1,H29="India",2,H29="EU(other than Ireland)",3,H29="UK",4)</f>
        <v>1</v>
      </c>
      <c r="J29" s="2" t="s">
        <v>52</v>
      </c>
      <c r="K29" s="44">
        <f t="shared" si="1"/>
        <v>1</v>
      </c>
      <c r="L29" s="2" t="s">
        <v>60</v>
      </c>
      <c r="M29" s="44" cm="1">
        <f t="array" ref="M29">_xlfn.IFS(L29="€199-€249",2, L29="Under €199",1,L29="€249-€399",3,L29="Over €399",4)</f>
        <v>1</v>
      </c>
      <c r="N29" s="2" t="s">
        <v>54</v>
      </c>
      <c r="O29" s="45" cm="1">
        <f t="array" ref="O29">_xlfn.IFS(N29="Yes, currently own one",1,N29="Yes, but no longer use it",2,N29="No, I’ve never owned one",3)</f>
        <v>1</v>
      </c>
      <c r="P29" s="2" t="s">
        <v>68</v>
      </c>
    </row>
    <row r="30" spans="1:16" ht="16" customHeight="1" x14ac:dyDescent="0.35">
      <c r="A30" s="8">
        <v>29</v>
      </c>
      <c r="B30" s="7" t="s">
        <v>94</v>
      </c>
      <c r="C30" s="44">
        <f t="shared" si="2"/>
        <v>4</v>
      </c>
      <c r="D30" s="47" t="s">
        <v>59</v>
      </c>
      <c r="E30" s="47" cm="1">
        <f t="array" ref="E30">_xlfn.IFS(D30="18 - 24", 1, D30="25 - 34", 2, D30="35 - 44", 3, D30="45 - 54", 4)</f>
        <v>1</v>
      </c>
      <c r="F30" s="7" t="s">
        <v>81</v>
      </c>
      <c r="G30" s="44">
        <f t="shared" si="0"/>
        <v>0</v>
      </c>
      <c r="H30" s="2" t="s">
        <v>51</v>
      </c>
      <c r="I30" s="44" cm="1">
        <f t="array" ref="I30">_xlfn.IFS(H30="Ireland",1,H30="India",2,H30="EU(other than Ireland)",3,H30="UK",4)</f>
        <v>1</v>
      </c>
      <c r="J30" s="2" t="s">
        <v>52</v>
      </c>
      <c r="K30" s="44">
        <f t="shared" si="1"/>
        <v>1</v>
      </c>
      <c r="L30" s="2" t="s">
        <v>60</v>
      </c>
      <c r="M30" s="44" cm="1">
        <f t="array" ref="M30">_xlfn.IFS(L30="€199-€249",2, L30="Under €199",1,L30="€249-€399",3,L30="Over €399",4)</f>
        <v>1</v>
      </c>
      <c r="N30" s="2" t="s">
        <v>95</v>
      </c>
      <c r="O30" s="45" cm="1">
        <f t="array" ref="O30">_xlfn.IFS(N30="Yes, currently own one",1,N30="Yes, but no longer use it",2,N30="No, I’ve never owned one",3)</f>
        <v>3</v>
      </c>
      <c r="P30" s="2" t="s">
        <v>68</v>
      </c>
    </row>
    <row r="31" spans="1:16" ht="16" customHeight="1" x14ac:dyDescent="0.35">
      <c r="A31" s="8">
        <v>30</v>
      </c>
      <c r="B31" s="7" t="s">
        <v>88</v>
      </c>
      <c r="C31" s="44">
        <f t="shared" si="2"/>
        <v>3</v>
      </c>
      <c r="D31" s="47" t="s">
        <v>49</v>
      </c>
      <c r="E31" s="47" cm="1">
        <f t="array" ref="E31">_xlfn.IFS(D31="18 - 24", 1, D31="25 - 34", 2, D31="35 - 44", 3, D31="45 - 54", 4)</f>
        <v>2</v>
      </c>
      <c r="F31" s="7" t="s">
        <v>50</v>
      </c>
      <c r="G31" s="44">
        <f t="shared" si="0"/>
        <v>1</v>
      </c>
      <c r="H31" s="2" t="s">
        <v>51</v>
      </c>
      <c r="I31" s="44" cm="1">
        <f t="array" ref="I31">_xlfn.IFS(H31="Ireland",1,H31="India",2,H31="EU(other than Ireland)",3,H31="UK",4)</f>
        <v>1</v>
      </c>
      <c r="J31" s="2" t="s">
        <v>52</v>
      </c>
      <c r="K31" s="44">
        <f t="shared" si="1"/>
        <v>1</v>
      </c>
      <c r="L31" s="2" t="s">
        <v>60</v>
      </c>
      <c r="M31" s="44" cm="1">
        <f t="array" ref="M31">_xlfn.IFS(L31="€199-€249",2, L31="Under €199",1,L31="€249-€399",3,L31="Over €399",4)</f>
        <v>1</v>
      </c>
      <c r="N31" s="2" t="s">
        <v>54</v>
      </c>
      <c r="O31" s="45" cm="1">
        <f t="array" ref="O31">_xlfn.IFS(N31="Yes, currently own one",1,N31="Yes, but no longer use it",2,N31="No, I’ve never owned one",3)</f>
        <v>1</v>
      </c>
      <c r="P31" s="2" t="s">
        <v>68</v>
      </c>
    </row>
    <row r="32" spans="1:16" ht="16" customHeight="1" x14ac:dyDescent="0.35">
      <c r="A32" s="8">
        <v>31</v>
      </c>
      <c r="B32" s="7" t="s">
        <v>88</v>
      </c>
      <c r="C32" s="44">
        <f t="shared" si="2"/>
        <v>3</v>
      </c>
      <c r="D32" s="47" t="s">
        <v>59</v>
      </c>
      <c r="E32" s="47" cm="1">
        <f t="array" ref="E32">_xlfn.IFS(D32="18 - 24", 1, D32="25 - 34", 2, D32="35 - 44", 3, D32="45 - 54", 4)</f>
        <v>1</v>
      </c>
      <c r="F32" s="7" t="s">
        <v>81</v>
      </c>
      <c r="G32" s="44">
        <f t="shared" si="0"/>
        <v>0</v>
      </c>
      <c r="H32" s="2" t="s">
        <v>51</v>
      </c>
      <c r="I32" s="44" cm="1">
        <f t="array" ref="I32">_xlfn.IFS(H32="Ireland",1,H32="India",2,H32="EU(other than Ireland)",3,H32="UK",4)</f>
        <v>1</v>
      </c>
      <c r="J32" s="2" t="s">
        <v>52</v>
      </c>
      <c r="K32" s="44">
        <f t="shared" si="1"/>
        <v>1</v>
      </c>
      <c r="L32" s="2" t="s">
        <v>53</v>
      </c>
      <c r="M32" s="44" cm="1">
        <f t="array" ref="M32">_xlfn.IFS(L32="€199-€249",2, L32="Under €199",1,L32="€249-€399",3,L32="Over €399",4)</f>
        <v>2</v>
      </c>
      <c r="N32" s="2" t="s">
        <v>89</v>
      </c>
      <c r="O32" s="45" cm="1">
        <f t="array" ref="O32">_xlfn.IFS(N32="Yes, currently own one",1,N32="Yes, but no longer use it",2,N32="No, I’ve never owned one",3)</f>
        <v>2</v>
      </c>
      <c r="P32" s="2" t="s">
        <v>98</v>
      </c>
    </row>
    <row r="33" spans="1:16" ht="16" customHeight="1" x14ac:dyDescent="0.35">
      <c r="A33" s="8">
        <v>32</v>
      </c>
      <c r="B33" s="7" t="s">
        <v>58</v>
      </c>
      <c r="C33" s="44">
        <f t="shared" si="2"/>
        <v>2</v>
      </c>
      <c r="D33" s="47" t="s">
        <v>59</v>
      </c>
      <c r="E33" s="47" cm="1">
        <f t="array" ref="E33">_xlfn.IFS(D33="18 - 24", 1, D33="25 - 34", 2, D33="35 - 44", 3, D33="45 - 54", 4)</f>
        <v>1</v>
      </c>
      <c r="F33" s="7" t="s">
        <v>81</v>
      </c>
      <c r="G33" s="44">
        <f t="shared" si="0"/>
        <v>0</v>
      </c>
      <c r="H33" s="2" t="s">
        <v>51</v>
      </c>
      <c r="I33" s="44" cm="1">
        <f t="array" ref="I33">_xlfn.IFS(H33="Ireland",1,H33="India",2,H33="EU(other than Ireland)",3,H33="UK",4)</f>
        <v>1</v>
      </c>
      <c r="J33" s="2" t="s">
        <v>52</v>
      </c>
      <c r="K33" s="44">
        <f t="shared" si="1"/>
        <v>1</v>
      </c>
      <c r="L33" s="2" t="s">
        <v>53</v>
      </c>
      <c r="M33" s="44" cm="1">
        <f t="array" ref="M33">_xlfn.IFS(L33="€199-€249",2, L33="Under €199",1,L33="€249-€399",3,L33="Over €399",4)</f>
        <v>2</v>
      </c>
      <c r="N33" s="2" t="s">
        <v>89</v>
      </c>
      <c r="O33" s="45" cm="1">
        <f t="array" ref="O33">_xlfn.IFS(N33="Yes, currently own one",1,N33="Yes, but no longer use it",2,N33="No, I’ve never owned one",3)</f>
        <v>2</v>
      </c>
      <c r="P33" s="2" t="s">
        <v>68</v>
      </c>
    </row>
    <row r="34" spans="1:16" ht="16" customHeight="1" x14ac:dyDescent="0.35">
      <c r="A34" s="8">
        <v>33</v>
      </c>
      <c r="B34" s="7" t="s">
        <v>48</v>
      </c>
      <c r="C34" s="44">
        <f t="shared" si="2"/>
        <v>1</v>
      </c>
      <c r="D34" s="47" t="s">
        <v>49</v>
      </c>
      <c r="E34" s="47" cm="1">
        <f t="array" ref="E34">_xlfn.IFS(D34="18 - 24", 1, D34="25 - 34", 2, D34="35 - 44", 3, D34="45 - 54", 4)</f>
        <v>2</v>
      </c>
      <c r="F34" s="7" t="s">
        <v>50</v>
      </c>
      <c r="G34" s="44">
        <f t="shared" si="0"/>
        <v>1</v>
      </c>
      <c r="H34" s="2" t="s">
        <v>51</v>
      </c>
      <c r="I34" s="44" cm="1">
        <f t="array" ref="I34">_xlfn.IFS(H34="Ireland",1,H34="India",2,H34="EU(other than Ireland)",3,H34="UK",4)</f>
        <v>1</v>
      </c>
      <c r="J34" s="2" t="s">
        <v>52</v>
      </c>
      <c r="K34" s="44">
        <f t="shared" si="1"/>
        <v>1</v>
      </c>
      <c r="L34" s="2" t="s">
        <v>53</v>
      </c>
      <c r="M34" s="44" cm="1">
        <f t="array" ref="M34">_xlfn.IFS(L34="€199-€249",2, L34="Under €199",1,L34="€249-€399",3,L34="Over €399",4)</f>
        <v>2</v>
      </c>
      <c r="N34" s="2" t="s">
        <v>54</v>
      </c>
      <c r="O34" s="45" cm="1">
        <f t="array" ref="O34">_xlfn.IFS(N34="Yes, currently own one",1,N34="Yes, but no longer use it",2,N34="No, I’ve never owned one",3)</f>
        <v>1</v>
      </c>
      <c r="P34" s="2" t="s">
        <v>68</v>
      </c>
    </row>
    <row r="35" spans="1:16" ht="16" customHeight="1" x14ac:dyDescent="0.35">
      <c r="A35" s="8">
        <v>34</v>
      </c>
      <c r="B35" s="7" t="s">
        <v>48</v>
      </c>
      <c r="C35" s="44">
        <f t="shared" si="2"/>
        <v>1</v>
      </c>
      <c r="D35" s="47" t="s">
        <v>59</v>
      </c>
      <c r="E35" s="47" cm="1">
        <f t="array" ref="E35">_xlfn.IFS(D35="18 - 24", 1, D35="25 - 34", 2, D35="35 - 44", 3, D35="45 - 54", 4)</f>
        <v>1</v>
      </c>
      <c r="F35" s="7" t="s">
        <v>50</v>
      </c>
      <c r="G35" s="44">
        <f t="shared" si="0"/>
        <v>1</v>
      </c>
      <c r="H35" s="2" t="s">
        <v>51</v>
      </c>
      <c r="I35" s="44" cm="1">
        <f t="array" ref="I35">_xlfn.IFS(H35="Ireland",1,H35="India",2,H35="EU(other than Ireland)",3,H35="UK",4)</f>
        <v>1</v>
      </c>
      <c r="J35" s="2" t="s">
        <v>52</v>
      </c>
      <c r="K35" s="44">
        <f t="shared" si="1"/>
        <v>1</v>
      </c>
      <c r="L35" s="2" t="s">
        <v>60</v>
      </c>
      <c r="M35" s="44" cm="1">
        <f t="array" ref="M35">_xlfn.IFS(L35="€199-€249",2, L35="Under €199",1,L35="€249-€399",3,L35="Over €399",4)</f>
        <v>1</v>
      </c>
      <c r="N35" s="2" t="s">
        <v>54</v>
      </c>
      <c r="O35" s="45" cm="1">
        <f t="array" ref="O35">_xlfn.IFS(N35="Yes, currently own one",1,N35="Yes, but no longer use it",2,N35="No, I’ve never owned one",3)</f>
        <v>1</v>
      </c>
      <c r="P35" s="2" t="s">
        <v>68</v>
      </c>
    </row>
    <row r="36" spans="1:16" ht="16" customHeight="1" x14ac:dyDescent="0.35">
      <c r="A36" s="8">
        <v>35</v>
      </c>
      <c r="B36" s="7" t="s">
        <v>48</v>
      </c>
      <c r="C36" s="44">
        <f t="shared" si="2"/>
        <v>1</v>
      </c>
      <c r="D36" s="47" t="s">
        <v>49</v>
      </c>
      <c r="E36" s="47" cm="1">
        <f t="array" ref="E36">_xlfn.IFS(D36="18 - 24", 1, D36="25 - 34", 2, D36="35 - 44", 3, D36="45 - 54", 4)</f>
        <v>2</v>
      </c>
      <c r="F36" s="7" t="s">
        <v>81</v>
      </c>
      <c r="G36" s="44">
        <f t="shared" si="0"/>
        <v>0</v>
      </c>
      <c r="H36" s="2" t="s">
        <v>51</v>
      </c>
      <c r="I36" s="44" cm="1">
        <f t="array" ref="I36">_xlfn.IFS(H36="Ireland",1,H36="India",2,H36="EU(other than Ireland)",3,H36="UK",4)</f>
        <v>1</v>
      </c>
      <c r="J36" s="2" t="s">
        <v>52</v>
      </c>
      <c r="K36" s="44">
        <f t="shared" si="1"/>
        <v>1</v>
      </c>
      <c r="L36" s="2" t="s">
        <v>60</v>
      </c>
      <c r="M36" s="44" cm="1">
        <f t="array" ref="M36">_xlfn.IFS(L36="€199-€249",2, L36="Under €199",1,L36="€249-€399",3,L36="Over €399",4)</f>
        <v>1</v>
      </c>
      <c r="N36" s="2" t="s">
        <v>54</v>
      </c>
      <c r="O36" s="45" cm="1">
        <f t="array" ref="O36">_xlfn.IFS(N36="Yes, currently own one",1,N36="Yes, but no longer use it",2,N36="No, I’ve never owned one",3)</f>
        <v>1</v>
      </c>
      <c r="P36" s="2" t="s">
        <v>85</v>
      </c>
    </row>
    <row r="37" spans="1:16" ht="16" customHeight="1" x14ac:dyDescent="0.35">
      <c r="A37" s="8">
        <v>36</v>
      </c>
      <c r="B37" s="7" t="s">
        <v>88</v>
      </c>
      <c r="C37" s="44">
        <f t="shared" si="2"/>
        <v>3</v>
      </c>
      <c r="D37" s="47" t="s">
        <v>59</v>
      </c>
      <c r="E37" s="47" cm="1">
        <f t="array" ref="E37">_xlfn.IFS(D37="18 - 24", 1, D37="25 - 34", 2, D37="35 - 44", 3, D37="45 - 54", 4)</f>
        <v>1</v>
      </c>
      <c r="F37" s="7" t="s">
        <v>50</v>
      </c>
      <c r="G37" s="44">
        <f t="shared" si="0"/>
        <v>1</v>
      </c>
      <c r="H37" s="2" t="s">
        <v>51</v>
      </c>
      <c r="I37" s="44" cm="1">
        <f t="array" ref="I37">_xlfn.IFS(H37="Ireland",1,H37="India",2,H37="EU(other than Ireland)",3,H37="UK",4)</f>
        <v>1</v>
      </c>
      <c r="J37" s="2" t="s">
        <v>52</v>
      </c>
      <c r="K37" s="44">
        <f t="shared" si="1"/>
        <v>1</v>
      </c>
      <c r="L37" s="2" t="s">
        <v>53</v>
      </c>
      <c r="M37" s="44" cm="1">
        <f t="array" ref="M37">_xlfn.IFS(L37="€199-€249",2, L37="Under €199",1,L37="€249-€399",3,L37="Over €399",4)</f>
        <v>2</v>
      </c>
      <c r="N37" s="2" t="s">
        <v>95</v>
      </c>
      <c r="O37" s="45" cm="1">
        <f t="array" ref="O37">_xlfn.IFS(N37="Yes, currently own one",1,N37="Yes, but no longer use it",2,N37="No, I’ve never owned one",3)</f>
        <v>3</v>
      </c>
      <c r="P37" s="2" t="s">
        <v>61</v>
      </c>
    </row>
    <row r="38" spans="1:16" ht="16" customHeight="1" x14ac:dyDescent="0.35">
      <c r="A38" s="8">
        <v>37</v>
      </c>
      <c r="B38" s="7" t="s">
        <v>48</v>
      </c>
      <c r="C38" s="44">
        <f t="shared" si="2"/>
        <v>1</v>
      </c>
      <c r="D38" s="47" t="s">
        <v>59</v>
      </c>
      <c r="E38" s="47" cm="1">
        <f t="array" ref="E38">_xlfn.IFS(D38="18 - 24", 1, D38="25 - 34", 2, D38="35 - 44", 3, D38="45 - 54", 4)</f>
        <v>1</v>
      </c>
      <c r="F38" s="7" t="s">
        <v>50</v>
      </c>
      <c r="G38" s="44">
        <f t="shared" si="0"/>
        <v>1</v>
      </c>
      <c r="H38" s="2" t="s">
        <v>127</v>
      </c>
      <c r="I38" s="44">
        <v>3</v>
      </c>
      <c r="J38" s="2" t="s">
        <v>52</v>
      </c>
      <c r="K38" s="44">
        <f t="shared" si="1"/>
        <v>1</v>
      </c>
      <c r="L38" s="2" t="s">
        <v>60</v>
      </c>
      <c r="M38" s="44" cm="1">
        <f t="array" ref="M38">_xlfn.IFS(L38="€199-€249",2, L38="Under €199",1,L38="€249-€399",3,L38="Over €399",4)</f>
        <v>1</v>
      </c>
      <c r="N38" s="2" t="s">
        <v>54</v>
      </c>
      <c r="O38" s="45" cm="1">
        <f t="array" ref="O38">_xlfn.IFS(N38="Yes, currently own one",1,N38="Yes, but no longer use it",2,N38="No, I’ve never owned one",3)</f>
        <v>1</v>
      </c>
      <c r="P38" s="2" t="s">
        <v>68</v>
      </c>
    </row>
    <row r="39" spans="1:16" ht="16" customHeight="1" x14ac:dyDescent="0.35">
      <c r="A39" s="8">
        <v>38</v>
      </c>
      <c r="B39" s="7" t="s">
        <v>88</v>
      </c>
      <c r="C39" s="44">
        <f t="shared" si="2"/>
        <v>3</v>
      </c>
      <c r="D39" s="47" t="s">
        <v>59</v>
      </c>
      <c r="E39" s="47" cm="1">
        <f t="array" ref="E39">_xlfn.IFS(D39="18 - 24", 1, D39="25 - 34", 2, D39="35 - 44", 3, D39="45 - 54", 4)</f>
        <v>1</v>
      </c>
      <c r="F39" s="7" t="s">
        <v>81</v>
      </c>
      <c r="G39" s="44">
        <f t="shared" si="0"/>
        <v>0</v>
      </c>
      <c r="H39" s="2" t="s">
        <v>51</v>
      </c>
      <c r="I39" s="44" cm="1">
        <f t="array" ref="I39">_xlfn.IFS(H39="Ireland",1,H39="India",2,H39="EU(other than Ireland)",3,H39="UK",4)</f>
        <v>1</v>
      </c>
      <c r="J39" s="2" t="s">
        <v>52</v>
      </c>
      <c r="K39" s="44">
        <f t="shared" si="1"/>
        <v>1</v>
      </c>
      <c r="L39" s="2" t="s">
        <v>60</v>
      </c>
      <c r="M39" s="44" cm="1">
        <f t="array" ref="M39">_xlfn.IFS(L39="€199-€249",2, L39="Under €199",1,L39="€249-€399",3,L39="Over €399",4)</f>
        <v>1</v>
      </c>
      <c r="N39" s="2" t="s">
        <v>54</v>
      </c>
      <c r="O39" s="45" cm="1">
        <f t="array" ref="O39">_xlfn.IFS(N39="Yes, currently own one",1,N39="Yes, but no longer use it",2,N39="No, I’ve never owned one",3)</f>
        <v>1</v>
      </c>
      <c r="P39" s="2" t="s">
        <v>155</v>
      </c>
    </row>
    <row r="40" spans="1:16" ht="16" customHeight="1" x14ac:dyDescent="0.35">
      <c r="A40" s="8">
        <v>39</v>
      </c>
      <c r="B40" s="7" t="s">
        <v>58</v>
      </c>
      <c r="C40" s="44">
        <f t="shared" si="2"/>
        <v>2</v>
      </c>
      <c r="D40" s="47" t="s">
        <v>59</v>
      </c>
      <c r="E40" s="47" cm="1">
        <f t="array" ref="E40">_xlfn.IFS(D40="18 - 24", 1, D40="25 - 34", 2, D40="35 - 44", 3, D40="45 - 54", 4)</f>
        <v>1</v>
      </c>
      <c r="F40" s="7" t="s">
        <v>81</v>
      </c>
      <c r="G40" s="44">
        <f t="shared" si="0"/>
        <v>0</v>
      </c>
      <c r="H40" s="2" t="s">
        <v>270</v>
      </c>
      <c r="I40" s="44" cm="1">
        <f t="array" ref="I40">_xlfn.IFS(H40="Ireland",1,H40="India",2,H40="EU(other than Ireland)",3,H40="UK",4)</f>
        <v>2</v>
      </c>
      <c r="J40" s="2" t="s">
        <v>52</v>
      </c>
      <c r="K40" s="44">
        <f t="shared" si="1"/>
        <v>1</v>
      </c>
      <c r="L40" s="2" t="s">
        <v>53</v>
      </c>
      <c r="M40" s="44" cm="1">
        <f t="array" ref="M40">_xlfn.IFS(L40="€199-€249",2, L40="Under €199",1,L40="€249-€399",3,L40="Over €399",4)</f>
        <v>2</v>
      </c>
      <c r="N40" s="2" t="s">
        <v>89</v>
      </c>
      <c r="O40" s="45" cm="1">
        <f t="array" ref="O40">_xlfn.IFS(N40="Yes, currently own one",1,N40="Yes, but no longer use it",2,N40="No, I’ve never owned one",3)</f>
        <v>2</v>
      </c>
      <c r="P40" s="2" t="s">
        <v>61</v>
      </c>
    </row>
    <row r="41" spans="1:16" ht="16" customHeight="1" x14ac:dyDescent="0.35">
      <c r="A41" s="8">
        <v>40</v>
      </c>
      <c r="B41" s="7" t="s">
        <v>48</v>
      </c>
      <c r="C41" s="44">
        <f t="shared" si="2"/>
        <v>1</v>
      </c>
      <c r="D41" s="47" t="s">
        <v>49</v>
      </c>
      <c r="E41" s="47" cm="1">
        <f t="array" ref="E41">_xlfn.IFS(D41="18 - 24", 1, D41="25 - 34", 2, D41="35 - 44", 3, D41="45 - 54", 4)</f>
        <v>2</v>
      </c>
      <c r="F41" s="7" t="s">
        <v>50</v>
      </c>
      <c r="G41" s="44">
        <f t="shared" si="0"/>
        <v>1</v>
      </c>
      <c r="H41" s="2" t="s">
        <v>51</v>
      </c>
      <c r="I41" s="44" cm="1">
        <f t="array" ref="I41">_xlfn.IFS(H41="Ireland",1,H41="India",2,H41="EU(other than Ireland)",3,H41="UK",4)</f>
        <v>1</v>
      </c>
      <c r="J41" s="2" t="s">
        <v>67</v>
      </c>
      <c r="K41" s="44">
        <f t="shared" si="1"/>
        <v>0</v>
      </c>
      <c r="L41" s="2" t="s">
        <v>60</v>
      </c>
      <c r="M41" s="44" cm="1">
        <f t="array" ref="M41">_xlfn.IFS(L41="€199-€249",2, L41="Under €199",1,L41="€249-€399",3,L41="Over €399",4)</f>
        <v>1</v>
      </c>
      <c r="N41" s="2" t="s">
        <v>54</v>
      </c>
      <c r="O41" s="45" cm="1">
        <f t="array" ref="O41">_xlfn.IFS(N41="Yes, currently own one",1,N41="Yes, but no longer use it",2,N41="No, I’ve never owned one",3)</f>
        <v>1</v>
      </c>
      <c r="P41" s="2" t="s">
        <v>85</v>
      </c>
    </row>
    <row r="42" spans="1:16" ht="16" customHeight="1" x14ac:dyDescent="0.35">
      <c r="A42" s="8">
        <v>41</v>
      </c>
      <c r="B42" s="7" t="s">
        <v>48</v>
      </c>
      <c r="C42" s="44">
        <f t="shared" si="2"/>
        <v>1</v>
      </c>
      <c r="D42" s="47" t="s">
        <v>49</v>
      </c>
      <c r="E42" s="47" cm="1">
        <f t="array" ref="E42">_xlfn.IFS(D42="18 - 24", 1, D42="25 - 34", 2, D42="35 - 44", 3, D42="45 - 54", 4)</f>
        <v>2</v>
      </c>
      <c r="F42" s="7" t="s">
        <v>50</v>
      </c>
      <c r="G42" s="44">
        <f t="shared" si="0"/>
        <v>1</v>
      </c>
      <c r="H42" s="2" t="s">
        <v>51</v>
      </c>
      <c r="I42" s="44" cm="1">
        <f t="array" ref="I42">_xlfn.IFS(H42="Ireland",1,H42="India",2,H42="EU(other than Ireland)",3,H42="UK",4)</f>
        <v>1</v>
      </c>
      <c r="J42" s="2" t="s">
        <v>67</v>
      </c>
      <c r="K42" s="44">
        <f t="shared" si="1"/>
        <v>0</v>
      </c>
      <c r="L42" s="2" t="s">
        <v>161</v>
      </c>
      <c r="M42" s="44" cm="1">
        <f t="array" ref="M42">_xlfn.IFS(L42="€199-€249",2, L42="Under €199",1,L42="€249-€399",3,L42="Over €399",4)</f>
        <v>4</v>
      </c>
      <c r="N42" s="2" t="s">
        <v>54</v>
      </c>
      <c r="O42" s="45" cm="1">
        <f t="array" ref="O42">_xlfn.IFS(N42="Yes, currently own one",1,N42="Yes, but no longer use it",2,N42="No, I’ve never owned one",3)</f>
        <v>1</v>
      </c>
      <c r="P42" s="2" t="s">
        <v>85</v>
      </c>
    </row>
    <row r="43" spans="1:16" ht="16" customHeight="1" x14ac:dyDescent="0.35">
      <c r="A43" s="8">
        <v>42</v>
      </c>
      <c r="B43" s="7" t="s">
        <v>58</v>
      </c>
      <c r="C43" s="44">
        <f t="shared" si="2"/>
        <v>2</v>
      </c>
      <c r="D43" s="47" t="s">
        <v>59</v>
      </c>
      <c r="E43" s="47" cm="1">
        <f t="array" ref="E43">_xlfn.IFS(D43="18 - 24", 1, D43="25 - 34", 2, D43="35 - 44", 3, D43="45 - 54", 4)</f>
        <v>1</v>
      </c>
      <c r="F43" s="7" t="s">
        <v>81</v>
      </c>
      <c r="G43" s="44">
        <f t="shared" si="0"/>
        <v>0</v>
      </c>
      <c r="H43" s="2" t="s">
        <v>270</v>
      </c>
      <c r="I43" s="44" cm="1">
        <f t="array" ref="I43">_xlfn.IFS(H43="Ireland",1,H43="India",2,H43="EU(other than Ireland)",3,H43="UK",4)</f>
        <v>2</v>
      </c>
      <c r="J43" s="2" t="s">
        <v>67</v>
      </c>
      <c r="K43" s="44">
        <f t="shared" si="1"/>
        <v>0</v>
      </c>
      <c r="L43" s="2" t="s">
        <v>53</v>
      </c>
      <c r="M43" s="44" cm="1">
        <f t="array" ref="M43">_xlfn.IFS(L43="€199-€249",2, L43="Under €199",1,L43="€249-€399",3,L43="Over €399",4)</f>
        <v>2</v>
      </c>
      <c r="N43" s="2" t="s">
        <v>54</v>
      </c>
      <c r="O43" s="45" cm="1">
        <f t="array" ref="O43">_xlfn.IFS(N43="Yes, currently own one",1,N43="Yes, but no longer use it",2,N43="No, I’ve never owned one",3)</f>
        <v>1</v>
      </c>
      <c r="P43" s="2" t="s">
        <v>68</v>
      </c>
    </row>
    <row r="44" spans="1:16" ht="16" customHeight="1" x14ac:dyDescent="0.35">
      <c r="A44" s="8">
        <v>43</v>
      </c>
      <c r="B44" s="7" t="s">
        <v>58</v>
      </c>
      <c r="C44" s="44">
        <f t="shared" si="2"/>
        <v>2</v>
      </c>
      <c r="D44" s="47" t="s">
        <v>59</v>
      </c>
      <c r="E44" s="47" cm="1">
        <f t="array" ref="E44">_xlfn.IFS(D44="18 - 24", 1, D44="25 - 34", 2, D44="35 - 44", 3, D44="45 - 54", 4)</f>
        <v>1</v>
      </c>
      <c r="F44" s="7" t="s">
        <v>81</v>
      </c>
      <c r="G44" s="44">
        <f t="shared" si="0"/>
        <v>0</v>
      </c>
      <c r="H44" s="2" t="s">
        <v>51</v>
      </c>
      <c r="I44" s="44" cm="1">
        <f t="array" ref="I44">_xlfn.IFS(H44="Ireland",1,H44="India",2,H44="EU(other than Ireland)",3,H44="UK",4)</f>
        <v>1</v>
      </c>
      <c r="J44" s="2" t="s">
        <v>52</v>
      </c>
      <c r="K44" s="44">
        <f t="shared" si="1"/>
        <v>1</v>
      </c>
      <c r="L44" s="2" t="s">
        <v>60</v>
      </c>
      <c r="M44" s="44" cm="1">
        <f t="array" ref="M44">_xlfn.IFS(L44="€199-€249",2, L44="Under €199",1,L44="€249-€399",3,L44="Over €399",4)</f>
        <v>1</v>
      </c>
      <c r="N44" s="2" t="s">
        <v>89</v>
      </c>
      <c r="O44" s="45" cm="1">
        <f t="array" ref="O44">_xlfn.IFS(N44="Yes, currently own one",1,N44="Yes, but no longer use it",2,N44="No, I’ve never owned one",3)</f>
        <v>2</v>
      </c>
      <c r="P44" s="2" t="s">
        <v>165</v>
      </c>
    </row>
    <row r="45" spans="1:16" ht="16" customHeight="1" x14ac:dyDescent="0.35">
      <c r="A45" s="8">
        <v>44</v>
      </c>
      <c r="B45" s="7" t="s">
        <v>88</v>
      </c>
      <c r="C45" s="44">
        <f t="shared" si="2"/>
        <v>3</v>
      </c>
      <c r="D45" s="47" t="s">
        <v>59</v>
      </c>
      <c r="E45" s="47" cm="1">
        <f t="array" ref="E45">_xlfn.IFS(D45="18 - 24", 1, D45="25 - 34", 2, D45="35 - 44", 3, D45="45 - 54", 4)</f>
        <v>1</v>
      </c>
      <c r="F45" s="7" t="s">
        <v>50</v>
      </c>
      <c r="G45" s="44">
        <f t="shared" si="0"/>
        <v>1</v>
      </c>
      <c r="H45" s="2" t="s">
        <v>284</v>
      </c>
      <c r="I45" s="44">
        <v>1</v>
      </c>
      <c r="J45" s="2" t="s">
        <v>67</v>
      </c>
      <c r="K45" s="44">
        <f t="shared" si="1"/>
        <v>0</v>
      </c>
      <c r="L45" s="2" t="s">
        <v>53</v>
      </c>
      <c r="M45" s="44" cm="1">
        <f t="array" ref="M45">_xlfn.IFS(L45="€199-€249",2, L45="Under €199",1,L45="€249-€399",3,L45="Over €399",4)</f>
        <v>2</v>
      </c>
      <c r="N45" s="2" t="s">
        <v>54</v>
      </c>
      <c r="O45" s="45" cm="1">
        <f t="array" ref="O45">_xlfn.IFS(N45="Yes, currently own one",1,N45="Yes, but no longer use it",2,N45="No, I’ve never owned one",3)</f>
        <v>1</v>
      </c>
      <c r="P45" s="2" t="s">
        <v>71</v>
      </c>
    </row>
    <row r="46" spans="1:16" ht="16" customHeight="1" x14ac:dyDescent="0.35">
      <c r="A46" s="8">
        <v>45</v>
      </c>
      <c r="B46" s="7" t="s">
        <v>58</v>
      </c>
      <c r="C46" s="44">
        <f t="shared" si="2"/>
        <v>2</v>
      </c>
      <c r="D46" s="47" t="s">
        <v>80</v>
      </c>
      <c r="E46" s="47" cm="1">
        <f t="array" ref="E46">_xlfn.IFS(D46="18 - 24", 1, D46="25 - 34", 2, D46="35 - 44", 3, D46="45 - 54", 4)</f>
        <v>3</v>
      </c>
      <c r="F46" s="7" t="s">
        <v>81</v>
      </c>
      <c r="G46" s="44">
        <f t="shared" si="0"/>
        <v>0</v>
      </c>
      <c r="H46" s="2" t="s">
        <v>270</v>
      </c>
      <c r="I46" s="44" cm="1">
        <f t="array" ref="I46">_xlfn.IFS(H46="Ireland",1,H46="India",2,H46="EU(other than Ireland)",3,H46="UK",4)</f>
        <v>2</v>
      </c>
      <c r="J46" s="2" t="s">
        <v>67</v>
      </c>
      <c r="K46" s="44">
        <f t="shared" si="1"/>
        <v>0</v>
      </c>
      <c r="L46" s="2" t="s">
        <v>60</v>
      </c>
      <c r="M46" s="44" cm="1">
        <f t="array" ref="M46">_xlfn.IFS(L46="€199-€249",2, L46="Under €199",1,L46="€249-€399",3,L46="Over €399",4)</f>
        <v>1</v>
      </c>
      <c r="N46" s="2" t="s">
        <v>95</v>
      </c>
      <c r="O46" s="45" cm="1">
        <f t="array" ref="O46">_xlfn.IFS(N46="Yes, currently own one",1,N46="Yes, but no longer use it",2,N46="No, I’ve never owned one",3)</f>
        <v>3</v>
      </c>
      <c r="P46" s="2" t="s">
        <v>85</v>
      </c>
    </row>
    <row r="47" spans="1:16" ht="16" customHeight="1" x14ac:dyDescent="0.35">
      <c r="A47" s="8">
        <v>46</v>
      </c>
      <c r="B47" s="7" t="s">
        <v>48</v>
      </c>
      <c r="C47" s="44">
        <f t="shared" si="2"/>
        <v>1</v>
      </c>
      <c r="D47" s="47" t="s">
        <v>49</v>
      </c>
      <c r="E47" s="47" cm="1">
        <f t="array" ref="E47">_xlfn.IFS(D47="18 - 24", 1, D47="25 - 34", 2, D47="35 - 44", 3, D47="45 - 54", 4)</f>
        <v>2</v>
      </c>
      <c r="F47" s="7" t="s">
        <v>50</v>
      </c>
      <c r="G47" s="44">
        <f t="shared" si="0"/>
        <v>1</v>
      </c>
      <c r="H47" s="2" t="s">
        <v>127</v>
      </c>
      <c r="I47" s="44">
        <v>3</v>
      </c>
      <c r="J47" s="2" t="s">
        <v>52</v>
      </c>
      <c r="K47" s="44">
        <f t="shared" si="1"/>
        <v>1</v>
      </c>
      <c r="L47" s="2" t="s">
        <v>53</v>
      </c>
      <c r="M47" s="44" cm="1">
        <f t="array" ref="M47">_xlfn.IFS(L47="€199-€249",2, L47="Under €199",1,L47="€249-€399",3,L47="Over €399",4)</f>
        <v>2</v>
      </c>
      <c r="N47" s="2" t="s">
        <v>54</v>
      </c>
      <c r="O47" s="45" cm="1">
        <f t="array" ref="O47">_xlfn.IFS(N47="Yes, currently own one",1,N47="Yes, but no longer use it",2,N47="No, I’ve never owned one",3)</f>
        <v>1</v>
      </c>
      <c r="P47" s="2" t="s">
        <v>98</v>
      </c>
    </row>
    <row r="48" spans="1:16" ht="16" customHeight="1" x14ac:dyDescent="0.35">
      <c r="A48" s="8">
        <v>47</v>
      </c>
      <c r="B48" s="7" t="s">
        <v>88</v>
      </c>
      <c r="C48" s="44">
        <f t="shared" si="2"/>
        <v>3</v>
      </c>
      <c r="D48" s="47" t="s">
        <v>59</v>
      </c>
      <c r="E48" s="47" cm="1">
        <f t="array" ref="E48">_xlfn.IFS(D48="18 - 24", 1, D48="25 - 34", 2, D48="35 - 44", 3, D48="45 - 54", 4)</f>
        <v>1</v>
      </c>
      <c r="F48" s="7" t="s">
        <v>81</v>
      </c>
      <c r="G48" s="44">
        <f t="shared" si="0"/>
        <v>0</v>
      </c>
      <c r="H48" s="2" t="s">
        <v>127</v>
      </c>
      <c r="I48" s="44">
        <v>3</v>
      </c>
      <c r="J48" s="2" t="s">
        <v>52</v>
      </c>
      <c r="K48" s="44">
        <f t="shared" si="1"/>
        <v>1</v>
      </c>
      <c r="L48" s="2" t="s">
        <v>60</v>
      </c>
      <c r="M48" s="44" cm="1">
        <f t="array" ref="M48">_xlfn.IFS(L48="€199-€249",2, L48="Under €199",1,L48="€249-€399",3,L48="Over €399",4)</f>
        <v>1</v>
      </c>
      <c r="N48" s="2" t="s">
        <v>54</v>
      </c>
      <c r="O48" s="45" cm="1">
        <f t="array" ref="O48">_xlfn.IFS(N48="Yes, currently own one",1,N48="Yes, but no longer use it",2,N48="No, I’ve never owned one",3)</f>
        <v>1</v>
      </c>
      <c r="P48" s="2" t="s">
        <v>171</v>
      </c>
    </row>
    <row r="49" spans="1:16" ht="16" customHeight="1" x14ac:dyDescent="0.35">
      <c r="A49" s="8">
        <v>48</v>
      </c>
      <c r="B49" s="7" t="s">
        <v>88</v>
      </c>
      <c r="C49" s="44">
        <f t="shared" si="2"/>
        <v>3</v>
      </c>
      <c r="D49" s="47" t="s">
        <v>59</v>
      </c>
      <c r="E49" s="47" cm="1">
        <f t="array" ref="E49">_xlfn.IFS(D49="18 - 24", 1, D49="25 - 34", 2, D49="35 - 44", 3, D49="45 - 54", 4)</f>
        <v>1</v>
      </c>
      <c r="F49" s="7" t="s">
        <v>81</v>
      </c>
      <c r="G49" s="44">
        <f t="shared" si="0"/>
        <v>0</v>
      </c>
      <c r="H49" s="2" t="s">
        <v>127</v>
      </c>
      <c r="I49" s="44">
        <v>3</v>
      </c>
      <c r="J49" s="2" t="s">
        <v>52</v>
      </c>
      <c r="K49" s="44">
        <f t="shared" si="1"/>
        <v>1</v>
      </c>
      <c r="L49" s="2" t="s">
        <v>53</v>
      </c>
      <c r="M49" s="44" cm="1">
        <f t="array" ref="M49">_xlfn.IFS(L49="€199-€249",2, L49="Under €199",1,L49="€249-€399",3,L49="Over €399",4)</f>
        <v>2</v>
      </c>
      <c r="N49" s="2" t="s">
        <v>54</v>
      </c>
      <c r="O49" s="45" cm="1">
        <f t="array" ref="O49">_xlfn.IFS(N49="Yes, currently own one",1,N49="Yes, but no longer use it",2,N49="No, I’ve never owned one",3)</f>
        <v>1</v>
      </c>
      <c r="P49" s="2" t="s">
        <v>173</v>
      </c>
    </row>
    <row r="50" spans="1:16" ht="16" customHeight="1" x14ac:dyDescent="0.35">
      <c r="A50" s="8">
        <v>49</v>
      </c>
      <c r="B50" s="7" t="s">
        <v>48</v>
      </c>
      <c r="C50" s="44">
        <f t="shared" si="2"/>
        <v>1</v>
      </c>
      <c r="D50" s="47" t="s">
        <v>59</v>
      </c>
      <c r="E50" s="47" cm="1">
        <f t="array" ref="E50">_xlfn.IFS(D50="18 - 24", 1, D50="25 - 34", 2, D50="35 - 44", 3, D50="45 - 54", 4)</f>
        <v>1</v>
      </c>
      <c r="F50" s="7" t="s">
        <v>81</v>
      </c>
      <c r="G50" s="44">
        <f t="shared" si="0"/>
        <v>0</v>
      </c>
      <c r="H50" s="2" t="s">
        <v>270</v>
      </c>
      <c r="I50" s="44" cm="1">
        <f t="array" ref="I50">_xlfn.IFS(H50="Ireland",1,H50="India",2,H50="EU(other than Ireland)",3,H50="UK",4)</f>
        <v>2</v>
      </c>
      <c r="J50" s="2" t="s">
        <v>52</v>
      </c>
      <c r="K50" s="44">
        <f t="shared" si="1"/>
        <v>1</v>
      </c>
      <c r="L50" s="2" t="s">
        <v>53</v>
      </c>
      <c r="M50" s="44" cm="1">
        <f t="array" ref="M50">_xlfn.IFS(L50="€199-€249",2, L50="Under €199",1,L50="€249-€399",3,L50="Over €399",4)</f>
        <v>2</v>
      </c>
      <c r="N50" s="2" t="s">
        <v>54</v>
      </c>
      <c r="O50" s="45" cm="1">
        <f t="array" ref="O50">_xlfn.IFS(N50="Yes, currently own one",1,N50="Yes, but no longer use it",2,N50="No, I’ve never owned one",3)</f>
        <v>1</v>
      </c>
      <c r="P50" s="2" t="s">
        <v>61</v>
      </c>
    </row>
    <row r="51" spans="1:16" ht="16" customHeight="1" x14ac:dyDescent="0.35">
      <c r="A51" s="8">
        <v>50</v>
      </c>
      <c r="B51" s="7" t="s">
        <v>88</v>
      </c>
      <c r="C51" s="44">
        <f t="shared" si="2"/>
        <v>3</v>
      </c>
      <c r="D51" s="47" t="s">
        <v>49</v>
      </c>
      <c r="E51" s="47" cm="1">
        <f t="array" ref="E51">_xlfn.IFS(D51="18 - 24", 1, D51="25 - 34", 2, D51="35 - 44", 3, D51="45 - 54", 4)</f>
        <v>2</v>
      </c>
      <c r="F51" s="7" t="s">
        <v>81</v>
      </c>
      <c r="G51" s="44">
        <f t="shared" si="0"/>
        <v>0</v>
      </c>
      <c r="H51" s="2" t="s">
        <v>127</v>
      </c>
      <c r="I51" s="44">
        <v>3</v>
      </c>
      <c r="J51" s="2" t="s">
        <v>52</v>
      </c>
      <c r="K51" s="44">
        <f t="shared" si="1"/>
        <v>1</v>
      </c>
      <c r="L51" s="2" t="s">
        <v>53</v>
      </c>
      <c r="M51" s="44" cm="1">
        <f t="array" ref="M51">_xlfn.IFS(L51="€199-€249",2, L51="Under €199",1,L51="€249-€399",3,L51="Over €399",4)</f>
        <v>2</v>
      </c>
      <c r="N51" s="2" t="s">
        <v>89</v>
      </c>
      <c r="O51" s="45" cm="1">
        <f t="array" ref="O51">_xlfn.IFS(N51="Yes, currently own one",1,N51="Yes, but no longer use it",2,N51="No, I’ve never owned one",3)</f>
        <v>2</v>
      </c>
      <c r="P51" s="2" t="s">
        <v>55</v>
      </c>
    </row>
    <row r="52" spans="1:16" ht="16" customHeight="1" x14ac:dyDescent="0.35">
      <c r="A52" s="8">
        <v>51</v>
      </c>
      <c r="B52" s="7" t="s">
        <v>94</v>
      </c>
      <c r="C52" s="44">
        <f t="shared" si="2"/>
        <v>4</v>
      </c>
      <c r="D52" s="47" t="s">
        <v>59</v>
      </c>
      <c r="E52" s="47" cm="1">
        <f t="array" ref="E52">_xlfn.IFS(D52="18 - 24", 1, D52="25 - 34", 2, D52="35 - 44", 3, D52="45 - 54", 4)</f>
        <v>1</v>
      </c>
      <c r="F52" s="7" t="s">
        <v>81</v>
      </c>
      <c r="G52" s="44">
        <f t="shared" si="0"/>
        <v>0</v>
      </c>
      <c r="H52" s="2" t="s">
        <v>127</v>
      </c>
      <c r="I52" s="44">
        <v>3</v>
      </c>
      <c r="J52" s="2" t="s">
        <v>52</v>
      </c>
      <c r="K52" s="44">
        <f t="shared" si="1"/>
        <v>1</v>
      </c>
      <c r="L52" s="2" t="s">
        <v>60</v>
      </c>
      <c r="M52" s="44" cm="1">
        <f t="array" ref="M52">_xlfn.IFS(L52="€199-€249",2, L52="Under €199",1,L52="€249-€399",3,L52="Over €399",4)</f>
        <v>1</v>
      </c>
      <c r="N52" s="2" t="s">
        <v>89</v>
      </c>
      <c r="O52" s="45" cm="1">
        <f t="array" ref="O52">_xlfn.IFS(N52="Yes, currently own one",1,N52="Yes, but no longer use it",2,N52="No, I’ve never owned one",3)</f>
        <v>2</v>
      </c>
      <c r="P52" s="2" t="s">
        <v>68</v>
      </c>
    </row>
    <row r="53" spans="1:16" ht="16" customHeight="1" x14ac:dyDescent="0.35">
      <c r="A53" s="8">
        <v>52</v>
      </c>
      <c r="B53" s="7" t="s">
        <v>58</v>
      </c>
      <c r="C53" s="44">
        <f t="shared" si="2"/>
        <v>2</v>
      </c>
      <c r="D53" s="47" t="s">
        <v>59</v>
      </c>
      <c r="E53" s="47" cm="1">
        <f t="array" ref="E53">_xlfn.IFS(D53="18 - 24", 1, D53="25 - 34", 2, D53="35 - 44", 3, D53="45 - 54", 4)</f>
        <v>1</v>
      </c>
      <c r="F53" s="7" t="s">
        <v>81</v>
      </c>
      <c r="G53" s="44">
        <f t="shared" si="0"/>
        <v>0</v>
      </c>
      <c r="H53" s="2" t="s">
        <v>270</v>
      </c>
      <c r="I53" s="44" cm="1">
        <f t="array" ref="I53">_xlfn.IFS(H53="Ireland",1,H53="India",2,H53="EU(other than Ireland)",3,H53="UK",4)</f>
        <v>2</v>
      </c>
      <c r="J53" s="2" t="s">
        <v>52</v>
      </c>
      <c r="K53" s="44">
        <f t="shared" si="1"/>
        <v>1</v>
      </c>
      <c r="L53" s="2" t="s">
        <v>53</v>
      </c>
      <c r="M53" s="44" cm="1">
        <f t="array" ref="M53">_xlfn.IFS(L53="€199-€249",2, L53="Under €199",1,L53="€249-€399",3,L53="Over €399",4)</f>
        <v>2</v>
      </c>
      <c r="N53" s="2" t="s">
        <v>54</v>
      </c>
      <c r="O53" s="45" cm="1">
        <f t="array" ref="O53">_xlfn.IFS(N53="Yes, currently own one",1,N53="Yes, but no longer use it",2,N53="No, I’ve never owned one",3)</f>
        <v>1</v>
      </c>
      <c r="P53" s="2" t="s">
        <v>68</v>
      </c>
    </row>
    <row r="54" spans="1:16" ht="16" customHeight="1" x14ac:dyDescent="0.35">
      <c r="A54" s="8">
        <v>53</v>
      </c>
      <c r="B54" s="7" t="s">
        <v>88</v>
      </c>
      <c r="C54" s="44">
        <f t="shared" si="2"/>
        <v>3</v>
      </c>
      <c r="D54" s="47" t="s">
        <v>59</v>
      </c>
      <c r="E54" s="47" cm="1">
        <f t="array" ref="E54">_xlfn.IFS(D54="18 - 24", 1, D54="25 - 34", 2, D54="35 - 44", 3, D54="45 - 54", 4)</f>
        <v>1</v>
      </c>
      <c r="F54" s="7" t="s">
        <v>81</v>
      </c>
      <c r="G54" s="44">
        <f t="shared" si="0"/>
        <v>0</v>
      </c>
      <c r="H54" s="2" t="s">
        <v>270</v>
      </c>
      <c r="I54" s="44" cm="1">
        <f t="array" ref="I54">_xlfn.IFS(H54="Ireland",1,H54="India",2,H54="EU(other than Ireland)",3,H54="UK",4)</f>
        <v>2</v>
      </c>
      <c r="J54" s="2" t="s">
        <v>52</v>
      </c>
      <c r="K54" s="44">
        <f t="shared" si="1"/>
        <v>1</v>
      </c>
      <c r="L54" s="2" t="s">
        <v>84</v>
      </c>
      <c r="M54" s="44" cm="1">
        <f t="array" ref="M54">_xlfn.IFS(L54="€199-€249",2, L54="Under €199",1,L54="€249-€399",3,L54="Over €399",4)</f>
        <v>3</v>
      </c>
      <c r="N54" s="2" t="s">
        <v>54</v>
      </c>
      <c r="O54" s="45" cm="1">
        <f t="array" ref="O54">_xlfn.IFS(N54="Yes, currently own one",1,N54="Yes, but no longer use it",2,N54="No, I’ve never owned one",3)</f>
        <v>1</v>
      </c>
      <c r="P54" s="2" t="s">
        <v>68</v>
      </c>
    </row>
    <row r="55" spans="1:16" ht="16" customHeight="1" x14ac:dyDescent="0.35">
      <c r="A55" s="8">
        <v>54</v>
      </c>
      <c r="B55" s="7" t="s">
        <v>58</v>
      </c>
      <c r="C55" s="44">
        <f t="shared" si="2"/>
        <v>2</v>
      </c>
      <c r="D55" s="47" t="s">
        <v>59</v>
      </c>
      <c r="E55" s="47" cm="1">
        <f t="array" ref="E55">_xlfn.IFS(D55="18 - 24", 1, D55="25 - 34", 2, D55="35 - 44", 3, D55="45 - 54", 4)</f>
        <v>1</v>
      </c>
      <c r="F55" s="7" t="s">
        <v>81</v>
      </c>
      <c r="G55" s="44">
        <f t="shared" si="0"/>
        <v>0</v>
      </c>
      <c r="H55" s="2" t="s">
        <v>270</v>
      </c>
      <c r="I55" s="44" cm="1">
        <f t="array" ref="I55">_xlfn.IFS(H55="Ireland",1,H55="India",2,H55="EU(other than Ireland)",3,H55="UK",4)</f>
        <v>2</v>
      </c>
      <c r="J55" s="2" t="s">
        <v>52</v>
      </c>
      <c r="K55" s="44">
        <f t="shared" si="1"/>
        <v>1</v>
      </c>
      <c r="L55" s="2" t="s">
        <v>53</v>
      </c>
      <c r="M55" s="44" cm="1">
        <f t="array" ref="M55">_xlfn.IFS(L55="€199-€249",2, L55="Under €199",1,L55="€249-€399",3,L55="Over €399",4)</f>
        <v>2</v>
      </c>
      <c r="N55" s="2" t="s">
        <v>54</v>
      </c>
      <c r="O55" s="45" cm="1">
        <f t="array" ref="O55">_xlfn.IFS(N55="Yes, currently own one",1,N55="Yes, but no longer use it",2,N55="No, I’ve never owned one",3)</f>
        <v>1</v>
      </c>
      <c r="P55" s="2" t="s">
        <v>68</v>
      </c>
    </row>
    <row r="56" spans="1:16" ht="16" customHeight="1" x14ac:dyDescent="0.35">
      <c r="A56" s="8">
        <v>55</v>
      </c>
      <c r="B56" s="7" t="s">
        <v>48</v>
      </c>
      <c r="C56" s="44">
        <f t="shared" si="2"/>
        <v>1</v>
      </c>
      <c r="D56" s="47" t="s">
        <v>59</v>
      </c>
      <c r="E56" s="47" cm="1">
        <f t="array" ref="E56">_xlfn.IFS(D56="18 - 24", 1, D56="25 - 34", 2, D56="35 - 44", 3, D56="45 - 54", 4)</f>
        <v>1</v>
      </c>
      <c r="F56" s="7" t="s">
        <v>81</v>
      </c>
      <c r="G56" s="44">
        <f t="shared" si="0"/>
        <v>0</v>
      </c>
      <c r="H56" s="2" t="s">
        <v>270</v>
      </c>
      <c r="I56" s="44" cm="1">
        <f t="array" ref="I56">_xlfn.IFS(H56="Ireland",1,H56="India",2,H56="EU(other than Ireland)",3,H56="UK",4)</f>
        <v>2</v>
      </c>
      <c r="J56" s="2" t="s">
        <v>52</v>
      </c>
      <c r="K56" s="44">
        <f t="shared" si="1"/>
        <v>1</v>
      </c>
      <c r="L56" s="2" t="s">
        <v>53</v>
      </c>
      <c r="M56" s="44" cm="1">
        <f t="array" ref="M56">_xlfn.IFS(L56="€199-€249",2, L56="Under €199",1,L56="€249-€399",3,L56="Over €399",4)</f>
        <v>2</v>
      </c>
      <c r="N56" s="2" t="s">
        <v>54</v>
      </c>
      <c r="O56" s="45" cm="1">
        <f t="array" ref="O56">_xlfn.IFS(N56="Yes, currently own one",1,N56="Yes, but no longer use it",2,N56="No, I’ve never owned one",3)</f>
        <v>1</v>
      </c>
      <c r="P56" s="2" t="s">
        <v>85</v>
      </c>
    </row>
    <row r="57" spans="1:16" ht="16" customHeight="1" x14ac:dyDescent="0.35">
      <c r="A57" s="8">
        <v>56</v>
      </c>
      <c r="B57" s="7" t="s">
        <v>58</v>
      </c>
      <c r="C57" s="44">
        <f t="shared" si="2"/>
        <v>2</v>
      </c>
      <c r="D57" s="47" t="s">
        <v>59</v>
      </c>
      <c r="E57" s="47" cm="1">
        <f t="array" ref="E57">_xlfn.IFS(D57="18 - 24", 1, D57="25 - 34", 2, D57="35 - 44", 3, D57="45 - 54", 4)</f>
        <v>1</v>
      </c>
      <c r="F57" s="7" t="s">
        <v>81</v>
      </c>
      <c r="G57" s="44">
        <f t="shared" si="0"/>
        <v>0</v>
      </c>
      <c r="H57" s="2" t="s">
        <v>270</v>
      </c>
      <c r="I57" s="44" cm="1">
        <f t="array" ref="I57">_xlfn.IFS(H57="Ireland",1,H57="India",2,H57="EU(other than Ireland)",3,H57="UK",4)</f>
        <v>2</v>
      </c>
      <c r="J57" s="2" t="s">
        <v>52</v>
      </c>
      <c r="K57" s="44">
        <f t="shared" si="1"/>
        <v>1</v>
      </c>
      <c r="L57" s="2" t="s">
        <v>84</v>
      </c>
      <c r="M57" s="44" cm="1">
        <f t="array" ref="M57">_xlfn.IFS(L57="€199-€249",2, L57="Under €199",1,L57="€249-€399",3,L57="Over €399",4)</f>
        <v>3</v>
      </c>
      <c r="N57" s="2" t="s">
        <v>89</v>
      </c>
      <c r="O57" s="45" cm="1">
        <f t="array" ref="O57">_xlfn.IFS(N57="Yes, currently own one",1,N57="Yes, but no longer use it",2,N57="No, I’ve never owned one",3)</f>
        <v>2</v>
      </c>
      <c r="P57" s="2" t="s">
        <v>61</v>
      </c>
    </row>
    <row r="59" spans="1:16" ht="16" customHeight="1" x14ac:dyDescent="0.35">
      <c r="B59" s="68" t="s">
        <v>281</v>
      </c>
    </row>
    <row r="60" spans="1:16" ht="16" customHeight="1" x14ac:dyDescent="0.35">
      <c r="B60" s="70" t="str" cm="1">
        <f t="array" ref="B60:B63">_xlfn.UNIQUE(B2:B57)</f>
        <v>Daily</v>
      </c>
      <c r="C60" s="69">
        <v>1</v>
      </c>
      <c r="D60" s="71" t="s">
        <v>59</v>
      </c>
      <c r="E60" s="64">
        <v>1</v>
      </c>
      <c r="F60" s="63" t="s">
        <v>282</v>
      </c>
      <c r="G60" s="72">
        <v>1</v>
      </c>
      <c r="H60" s="62" t="s">
        <v>284</v>
      </c>
      <c r="I60" s="63">
        <v>1</v>
      </c>
      <c r="J60" s="62" t="str" cm="1">
        <f t="array" ref="J60:J61">_xlfn.UNIQUE(J2:J57)</f>
        <v>Student</v>
      </c>
      <c r="K60" s="63" t="s">
        <v>287</v>
      </c>
      <c r="L60" s="66" t="s">
        <v>53</v>
      </c>
      <c r="M60" s="65">
        <v>1</v>
      </c>
      <c r="N60" s="66" t="s">
        <v>54</v>
      </c>
      <c r="O60" s="66">
        <v>1</v>
      </c>
      <c r="P60" s="66"/>
    </row>
    <row r="61" spans="1:16" ht="16" customHeight="1" x14ac:dyDescent="0.35">
      <c r="B61" s="70" t="str">
        <v>Weekly</v>
      </c>
      <c r="C61" s="69">
        <v>2</v>
      </c>
      <c r="D61" s="71" t="s">
        <v>49</v>
      </c>
      <c r="E61" s="64">
        <v>2</v>
      </c>
      <c r="F61" s="63" t="s">
        <v>283</v>
      </c>
      <c r="G61" s="72">
        <v>0</v>
      </c>
      <c r="H61" s="62" t="s">
        <v>285</v>
      </c>
      <c r="I61" s="63">
        <v>2</v>
      </c>
      <c r="J61" s="62" t="str">
        <v>Professional</v>
      </c>
      <c r="K61" s="63">
        <v>0</v>
      </c>
      <c r="L61" s="66" t="s">
        <v>60</v>
      </c>
      <c r="M61" s="65">
        <v>2</v>
      </c>
      <c r="N61" s="66" t="s">
        <v>89</v>
      </c>
      <c r="O61" s="66">
        <v>2</v>
      </c>
      <c r="P61" s="66"/>
    </row>
    <row r="62" spans="1:16" ht="16" customHeight="1" x14ac:dyDescent="0.35">
      <c r="B62" s="70" t="str">
        <v>Occasionally</v>
      </c>
      <c r="C62" s="69">
        <v>3</v>
      </c>
      <c r="D62" s="71" t="s">
        <v>80</v>
      </c>
      <c r="E62" s="64">
        <v>3</v>
      </c>
      <c r="F62" s="65"/>
      <c r="G62" s="65"/>
      <c r="H62" s="62" t="s">
        <v>286</v>
      </c>
      <c r="I62" s="63">
        <v>3</v>
      </c>
      <c r="J62" s="66"/>
      <c r="K62" s="65"/>
      <c r="L62" s="66" t="s">
        <v>84</v>
      </c>
      <c r="M62" s="65">
        <v>3</v>
      </c>
      <c r="N62" s="66" t="s">
        <v>95</v>
      </c>
      <c r="O62" s="66">
        <v>3</v>
      </c>
      <c r="P62" s="66"/>
    </row>
    <row r="63" spans="1:16" ht="16" customHeight="1" x14ac:dyDescent="0.35">
      <c r="B63" s="70" t="str">
        <v>Rarely or never</v>
      </c>
      <c r="C63" s="69">
        <v>4</v>
      </c>
      <c r="D63" s="67"/>
      <c r="E63" s="67"/>
      <c r="F63" s="65"/>
      <c r="G63" s="65"/>
      <c r="H63" s="66"/>
      <c r="I63" s="65"/>
      <c r="J63" s="66"/>
      <c r="K63" s="65"/>
      <c r="L63" s="66" t="s">
        <v>161</v>
      </c>
      <c r="M63" s="65">
        <v>4</v>
      </c>
      <c r="N63" s="66"/>
      <c r="O63" s="66"/>
      <c r="P63" s="66"/>
    </row>
    <row r="64" spans="1:16" ht="16" customHeight="1" x14ac:dyDescent="0.35">
      <c r="B64" s="65"/>
      <c r="C64" s="65"/>
      <c r="D64" s="67"/>
      <c r="E64" s="67"/>
      <c r="F64" s="65"/>
      <c r="G64" s="65"/>
      <c r="H64" s="66"/>
      <c r="I64" s="65"/>
      <c r="J64" s="66"/>
      <c r="K64" s="65"/>
      <c r="N64" s="66"/>
      <c r="O64" s="66"/>
      <c r="P64" s="6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3FEB-5DC8-45BE-8FDB-5536C76B8FB7}">
  <dimension ref="A1:H8"/>
  <sheetViews>
    <sheetView workbookViewId="0">
      <selection activeCell="B8" sqref="B8"/>
    </sheetView>
  </sheetViews>
  <sheetFormatPr defaultRowHeight="14.5" x14ac:dyDescent="0.35"/>
  <cols>
    <col min="1" max="1" width="29.1796875" bestFit="1" customWidth="1"/>
    <col min="2" max="2" width="30.1796875" bestFit="1" customWidth="1"/>
    <col min="3" max="3" width="13.1796875" bestFit="1" customWidth="1"/>
    <col min="4" max="4" width="14.7265625" bestFit="1" customWidth="1"/>
    <col min="5" max="5" width="15.26953125" bestFit="1" customWidth="1"/>
    <col min="6" max="6" width="18.453125" bestFit="1" customWidth="1"/>
    <col min="7" max="7" width="29.26953125" bestFit="1" customWidth="1"/>
    <col min="8" max="8" width="22.81640625" bestFit="1" customWidth="1"/>
  </cols>
  <sheetData>
    <row r="1" spans="1:8" x14ac:dyDescent="0.35">
      <c r="A1" s="30"/>
      <c r="B1" s="30" t="s">
        <v>266</v>
      </c>
      <c r="C1" s="30" t="s">
        <v>267</v>
      </c>
      <c r="D1" s="30" t="s">
        <v>268</v>
      </c>
      <c r="E1" s="30" t="s">
        <v>269</v>
      </c>
      <c r="F1" s="30" t="s">
        <v>271</v>
      </c>
      <c r="G1" s="30" t="s">
        <v>273</v>
      </c>
      <c r="H1" s="30" t="s">
        <v>272</v>
      </c>
    </row>
    <row r="2" spans="1:8" x14ac:dyDescent="0.35">
      <c r="A2" t="s">
        <v>266</v>
      </c>
      <c r="B2">
        <v>1</v>
      </c>
    </row>
    <row r="3" spans="1:8" x14ac:dyDescent="0.35">
      <c r="A3" t="s">
        <v>267</v>
      </c>
      <c r="B3">
        <v>-0.2664299863729821</v>
      </c>
      <c r="C3">
        <v>1</v>
      </c>
    </row>
    <row r="4" spans="1:8" x14ac:dyDescent="0.35">
      <c r="A4" t="s">
        <v>268</v>
      </c>
      <c r="B4">
        <v>-0.12965953186286988</v>
      </c>
      <c r="C4">
        <v>0.17003759511206168</v>
      </c>
      <c r="D4">
        <v>1</v>
      </c>
    </row>
    <row r="5" spans="1:8" x14ac:dyDescent="0.35">
      <c r="A5" t="s">
        <v>269</v>
      </c>
      <c r="B5" s="49">
        <v>8.4430511168002483E-3</v>
      </c>
      <c r="C5">
        <v>-0.16541424338465982</v>
      </c>
      <c r="D5">
        <v>-0.23380135323877047</v>
      </c>
      <c r="E5">
        <v>1</v>
      </c>
    </row>
    <row r="6" spans="1:8" x14ac:dyDescent="0.35">
      <c r="A6" t="s">
        <v>271</v>
      </c>
      <c r="B6" s="49">
        <v>0.25139231873853385</v>
      </c>
      <c r="C6">
        <v>-0.36865138176898948</v>
      </c>
      <c r="D6">
        <v>-0.10444659357341866</v>
      </c>
      <c r="E6">
        <v>-0.24106681137636879</v>
      </c>
      <c r="F6">
        <v>1</v>
      </c>
    </row>
    <row r="7" spans="1:8" x14ac:dyDescent="0.35">
      <c r="A7" t="s">
        <v>273</v>
      </c>
      <c r="B7" s="49">
        <v>0.11031304121843591</v>
      </c>
      <c r="C7">
        <v>6.7489289685451981E-2</v>
      </c>
      <c r="D7">
        <v>-6.092076990801723E-2</v>
      </c>
      <c r="E7">
        <v>-0.1746941826354575</v>
      </c>
      <c r="F7">
        <v>-2.0031562446474267E-2</v>
      </c>
      <c r="G7">
        <v>1</v>
      </c>
    </row>
    <row r="8" spans="1:8" ht="15" thickBot="1" x14ac:dyDescent="0.4">
      <c r="A8" s="29" t="s">
        <v>272</v>
      </c>
      <c r="B8" s="50">
        <v>0.52273970437606354</v>
      </c>
      <c r="C8" s="29">
        <v>-6.2007933317782378E-2</v>
      </c>
      <c r="D8" s="29">
        <v>-6.5225868752189931E-3</v>
      </c>
      <c r="E8" s="29">
        <v>-0.10264353332985902</v>
      </c>
      <c r="F8" s="29">
        <v>0.171450931734831</v>
      </c>
      <c r="G8" s="29">
        <v>0.11059881562742294</v>
      </c>
      <c r="H8" s="29">
        <v>1</v>
      </c>
    </row>
  </sheetData>
  <conditionalFormatting sqref="A1:H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662B-ECE1-464A-B049-C617FFEBDF40}">
  <dimension ref="A1:X625"/>
  <sheetViews>
    <sheetView topLeftCell="B1" workbookViewId="0">
      <selection activeCell="D1" sqref="D1:I1048576"/>
    </sheetView>
  </sheetViews>
  <sheetFormatPr defaultRowHeight="14.5" x14ac:dyDescent="0.35"/>
  <cols>
    <col min="2" max="2" width="10.81640625" bestFit="1" customWidth="1"/>
    <col min="3" max="3" width="10.81640625" customWidth="1"/>
    <col min="4" max="4" width="27.7265625" bestFit="1" customWidth="1"/>
    <col min="5" max="5" width="20.36328125" bestFit="1" customWidth="1"/>
    <col min="6" max="6" width="11.81640625" bestFit="1" customWidth="1"/>
    <col min="10" max="10" width="8.7265625" style="12"/>
  </cols>
  <sheetData>
    <row r="1" spans="1:10" x14ac:dyDescent="0.35">
      <c r="B1" s="26" t="s">
        <v>222</v>
      </c>
      <c r="C1" s="26" t="s">
        <v>223</v>
      </c>
      <c r="D1" s="26" t="s">
        <v>213</v>
      </c>
      <c r="E1" s="26" t="s">
        <v>215</v>
      </c>
      <c r="F1" s="26" t="s">
        <v>217</v>
      </c>
      <c r="G1" s="26" t="s">
        <v>219</v>
      </c>
      <c r="H1" s="26">
        <v>249</v>
      </c>
      <c r="I1" s="26">
        <v>399</v>
      </c>
      <c r="J1" s="26" t="s">
        <v>256</v>
      </c>
    </row>
    <row r="2" spans="1:10" x14ac:dyDescent="0.35">
      <c r="A2" s="12">
        <v>1</v>
      </c>
      <c r="B2" s="14">
        <v>1</v>
      </c>
      <c r="C2" s="14">
        <v>1</v>
      </c>
      <c r="D2" s="27">
        <v>1</v>
      </c>
      <c r="E2" s="14">
        <v>1</v>
      </c>
      <c r="F2" s="14">
        <v>0</v>
      </c>
      <c r="G2" s="14">
        <v>1</v>
      </c>
      <c r="H2" s="28">
        <v>1</v>
      </c>
      <c r="I2" s="14">
        <v>0</v>
      </c>
      <c r="J2" s="24">
        <v>5</v>
      </c>
    </row>
    <row r="3" spans="1:10" x14ac:dyDescent="0.35">
      <c r="A3" s="12">
        <v>2</v>
      </c>
      <c r="B3" s="14">
        <v>1</v>
      </c>
      <c r="C3" s="14">
        <v>2</v>
      </c>
      <c r="D3" s="27">
        <v>1</v>
      </c>
      <c r="E3" s="14">
        <v>1</v>
      </c>
      <c r="F3" s="14">
        <v>1</v>
      </c>
      <c r="G3" s="14">
        <v>0</v>
      </c>
      <c r="H3" s="28">
        <v>0</v>
      </c>
      <c r="I3" s="14">
        <v>1</v>
      </c>
      <c r="J3" s="24">
        <v>3</v>
      </c>
    </row>
    <row r="4" spans="1:10" x14ac:dyDescent="0.35">
      <c r="A4" s="12">
        <v>3</v>
      </c>
      <c r="B4" s="14">
        <v>1</v>
      </c>
      <c r="C4" s="14">
        <v>3</v>
      </c>
      <c r="D4" s="27">
        <v>0</v>
      </c>
      <c r="E4" s="14">
        <v>0</v>
      </c>
      <c r="F4" s="14">
        <v>1</v>
      </c>
      <c r="G4" s="14">
        <v>1</v>
      </c>
      <c r="H4" s="28">
        <v>1</v>
      </c>
      <c r="I4" s="14">
        <v>0</v>
      </c>
      <c r="J4" s="24">
        <v>2</v>
      </c>
    </row>
    <row r="5" spans="1:10" x14ac:dyDescent="0.35">
      <c r="A5" s="12">
        <v>4</v>
      </c>
      <c r="B5" s="14">
        <v>1</v>
      </c>
      <c r="C5" s="14">
        <v>4</v>
      </c>
      <c r="D5" s="27">
        <v>1</v>
      </c>
      <c r="E5" s="14">
        <v>1</v>
      </c>
      <c r="F5" s="14">
        <v>1</v>
      </c>
      <c r="G5" s="14">
        <v>1</v>
      </c>
      <c r="H5" s="28">
        <v>0</v>
      </c>
      <c r="I5" s="14">
        <v>0</v>
      </c>
      <c r="J5" s="24">
        <v>6</v>
      </c>
    </row>
    <row r="6" spans="1:10" x14ac:dyDescent="0.35">
      <c r="A6" s="12">
        <v>5</v>
      </c>
      <c r="B6" s="14">
        <v>1</v>
      </c>
      <c r="C6" s="14">
        <v>5</v>
      </c>
      <c r="D6" s="27">
        <v>1</v>
      </c>
      <c r="E6" s="14">
        <v>0</v>
      </c>
      <c r="F6" s="14">
        <v>1</v>
      </c>
      <c r="G6" s="14">
        <v>0</v>
      </c>
      <c r="H6" s="28">
        <v>0</v>
      </c>
      <c r="I6" s="14">
        <v>0</v>
      </c>
      <c r="J6" s="24">
        <v>5</v>
      </c>
    </row>
    <row r="7" spans="1:10" x14ac:dyDescent="0.35">
      <c r="A7" s="12">
        <v>6</v>
      </c>
      <c r="B7" s="14">
        <v>1</v>
      </c>
      <c r="C7" s="14">
        <v>6</v>
      </c>
      <c r="D7" s="27">
        <v>1</v>
      </c>
      <c r="E7" s="14">
        <v>0</v>
      </c>
      <c r="F7" s="14">
        <v>0</v>
      </c>
      <c r="G7" s="14">
        <v>0</v>
      </c>
      <c r="H7" s="28">
        <v>1</v>
      </c>
      <c r="I7" s="14">
        <v>0</v>
      </c>
      <c r="J7" s="24">
        <v>3</v>
      </c>
    </row>
    <row r="8" spans="1:10" x14ac:dyDescent="0.35">
      <c r="A8" s="12">
        <v>7</v>
      </c>
      <c r="B8" s="14">
        <v>1</v>
      </c>
      <c r="C8" s="14">
        <v>7</v>
      </c>
      <c r="D8" s="27">
        <v>0</v>
      </c>
      <c r="E8" s="14">
        <v>1</v>
      </c>
      <c r="F8" s="14">
        <v>1</v>
      </c>
      <c r="G8" s="14">
        <v>0</v>
      </c>
      <c r="H8" s="28">
        <v>1</v>
      </c>
      <c r="I8" s="14">
        <v>0</v>
      </c>
      <c r="J8" s="24">
        <v>4</v>
      </c>
    </row>
    <row r="9" spans="1:10" x14ac:dyDescent="0.35">
      <c r="A9" s="12">
        <v>8</v>
      </c>
      <c r="B9" s="14">
        <v>1</v>
      </c>
      <c r="C9" s="14">
        <v>8</v>
      </c>
      <c r="D9" s="27">
        <v>0</v>
      </c>
      <c r="E9" s="14">
        <v>0</v>
      </c>
      <c r="F9" s="14">
        <v>0</v>
      </c>
      <c r="G9" s="14">
        <v>0</v>
      </c>
      <c r="H9" s="28">
        <v>0</v>
      </c>
      <c r="I9" s="14">
        <v>0</v>
      </c>
      <c r="J9" s="24">
        <v>5</v>
      </c>
    </row>
    <row r="10" spans="1:10" x14ac:dyDescent="0.35">
      <c r="A10" s="12">
        <v>9</v>
      </c>
      <c r="B10" s="14">
        <v>1</v>
      </c>
      <c r="C10" s="14">
        <v>9</v>
      </c>
      <c r="D10" s="27">
        <v>1</v>
      </c>
      <c r="E10" s="14">
        <v>0</v>
      </c>
      <c r="F10" s="14">
        <v>0</v>
      </c>
      <c r="G10" s="14">
        <v>1</v>
      </c>
      <c r="H10" s="28">
        <v>0</v>
      </c>
      <c r="I10" s="14">
        <v>1</v>
      </c>
      <c r="J10" s="24">
        <v>2</v>
      </c>
    </row>
    <row r="11" spans="1:10" x14ac:dyDescent="0.35">
      <c r="A11" s="12">
        <v>10</v>
      </c>
      <c r="B11" s="14">
        <v>1</v>
      </c>
      <c r="C11" s="14">
        <v>10</v>
      </c>
      <c r="D11" s="27">
        <v>0</v>
      </c>
      <c r="E11" s="14">
        <v>0</v>
      </c>
      <c r="F11" s="14">
        <v>1</v>
      </c>
      <c r="G11" s="14">
        <v>1</v>
      </c>
      <c r="H11" s="28">
        <v>0</v>
      </c>
      <c r="I11" s="14">
        <v>1</v>
      </c>
      <c r="J11" s="24">
        <v>3</v>
      </c>
    </row>
    <row r="12" spans="1:10" x14ac:dyDescent="0.35">
      <c r="A12" s="12">
        <v>11</v>
      </c>
      <c r="B12" s="14">
        <v>1</v>
      </c>
      <c r="C12" s="14">
        <v>11</v>
      </c>
      <c r="D12" s="27">
        <v>0</v>
      </c>
      <c r="E12" s="14">
        <v>1</v>
      </c>
      <c r="F12" s="14">
        <v>0</v>
      </c>
      <c r="G12" s="14">
        <v>0</v>
      </c>
      <c r="H12" s="28">
        <v>0</v>
      </c>
      <c r="I12" s="14">
        <v>1</v>
      </c>
      <c r="J12" s="24">
        <v>2</v>
      </c>
    </row>
    <row r="13" spans="1:10" x14ac:dyDescent="0.35">
      <c r="A13" s="12">
        <v>12</v>
      </c>
      <c r="B13" s="14">
        <v>1</v>
      </c>
      <c r="C13" s="14">
        <v>12</v>
      </c>
      <c r="D13" s="27">
        <v>0</v>
      </c>
      <c r="E13" s="14">
        <v>1</v>
      </c>
      <c r="F13" s="14">
        <v>0</v>
      </c>
      <c r="G13" s="14">
        <v>1</v>
      </c>
      <c r="H13" s="28">
        <v>0</v>
      </c>
      <c r="I13" s="14">
        <v>0</v>
      </c>
      <c r="J13" s="24">
        <v>6</v>
      </c>
    </row>
    <row r="14" spans="1:10" x14ac:dyDescent="0.35">
      <c r="A14" s="12">
        <v>1</v>
      </c>
      <c r="B14" s="14">
        <v>2</v>
      </c>
      <c r="C14" s="14">
        <v>1</v>
      </c>
      <c r="D14" s="27">
        <v>1</v>
      </c>
      <c r="E14" s="14">
        <v>1</v>
      </c>
      <c r="F14" s="14">
        <v>0</v>
      </c>
      <c r="G14" s="14">
        <v>1</v>
      </c>
      <c r="H14" s="28">
        <v>1</v>
      </c>
      <c r="I14" s="14">
        <v>0</v>
      </c>
      <c r="J14" s="24">
        <v>5</v>
      </c>
    </row>
    <row r="15" spans="1:10" x14ac:dyDescent="0.35">
      <c r="A15" s="12">
        <v>2</v>
      </c>
      <c r="B15" s="14">
        <v>2</v>
      </c>
      <c r="C15" s="14">
        <v>2</v>
      </c>
      <c r="D15" s="27">
        <v>1</v>
      </c>
      <c r="E15" s="14">
        <v>1</v>
      </c>
      <c r="F15" s="14">
        <v>1</v>
      </c>
      <c r="G15" s="14">
        <v>0</v>
      </c>
      <c r="H15" s="28">
        <v>0</v>
      </c>
      <c r="I15" s="14">
        <v>1</v>
      </c>
      <c r="J15" s="24">
        <v>2</v>
      </c>
    </row>
    <row r="16" spans="1:10" x14ac:dyDescent="0.35">
      <c r="A16" s="12">
        <v>3</v>
      </c>
      <c r="B16" s="14">
        <v>2</v>
      </c>
      <c r="C16" s="14">
        <v>3</v>
      </c>
      <c r="D16" s="27">
        <v>0</v>
      </c>
      <c r="E16" s="14">
        <v>0</v>
      </c>
      <c r="F16" s="14">
        <v>1</v>
      </c>
      <c r="G16" s="14">
        <v>1</v>
      </c>
      <c r="H16" s="28">
        <v>1</v>
      </c>
      <c r="I16" s="14">
        <v>0</v>
      </c>
      <c r="J16" s="24">
        <v>3</v>
      </c>
    </row>
    <row r="17" spans="1:10" x14ac:dyDescent="0.35">
      <c r="A17" s="12">
        <v>4</v>
      </c>
      <c r="B17" s="14">
        <v>2</v>
      </c>
      <c r="C17" s="14">
        <v>4</v>
      </c>
      <c r="D17" s="27">
        <v>1</v>
      </c>
      <c r="E17" s="14">
        <v>1</v>
      </c>
      <c r="F17" s="14">
        <v>1</v>
      </c>
      <c r="G17" s="14">
        <v>1</v>
      </c>
      <c r="H17" s="28">
        <v>0</v>
      </c>
      <c r="I17" s="14">
        <v>0</v>
      </c>
      <c r="J17" s="24">
        <v>6</v>
      </c>
    </row>
    <row r="18" spans="1:10" x14ac:dyDescent="0.35">
      <c r="A18" s="12">
        <v>5</v>
      </c>
      <c r="B18" s="14">
        <v>2</v>
      </c>
      <c r="C18" s="14">
        <v>5</v>
      </c>
      <c r="D18" s="27">
        <v>1</v>
      </c>
      <c r="E18" s="14">
        <v>0</v>
      </c>
      <c r="F18" s="14">
        <v>1</v>
      </c>
      <c r="G18" s="14">
        <v>0</v>
      </c>
      <c r="H18" s="28">
        <v>0</v>
      </c>
      <c r="I18" s="14">
        <v>0</v>
      </c>
      <c r="J18" s="24">
        <v>4</v>
      </c>
    </row>
    <row r="19" spans="1:10" x14ac:dyDescent="0.35">
      <c r="A19" s="12">
        <v>6</v>
      </c>
      <c r="B19" s="14">
        <v>2</v>
      </c>
      <c r="C19" s="14">
        <v>6</v>
      </c>
      <c r="D19" s="27">
        <v>1</v>
      </c>
      <c r="E19" s="14">
        <v>0</v>
      </c>
      <c r="F19" s="14">
        <v>0</v>
      </c>
      <c r="G19" s="14">
        <v>0</v>
      </c>
      <c r="H19" s="28">
        <v>1</v>
      </c>
      <c r="I19" s="14">
        <v>0</v>
      </c>
      <c r="J19" s="24">
        <v>2</v>
      </c>
    </row>
    <row r="20" spans="1:10" x14ac:dyDescent="0.35">
      <c r="A20" s="12">
        <v>7</v>
      </c>
      <c r="B20" s="14">
        <v>2</v>
      </c>
      <c r="C20" s="14">
        <v>7</v>
      </c>
      <c r="D20" s="27">
        <v>0</v>
      </c>
      <c r="E20" s="14">
        <v>1</v>
      </c>
      <c r="F20" s="14">
        <v>1</v>
      </c>
      <c r="G20" s="14">
        <v>0</v>
      </c>
      <c r="H20" s="28">
        <v>1</v>
      </c>
      <c r="I20" s="14">
        <v>0</v>
      </c>
      <c r="J20" s="24">
        <v>4</v>
      </c>
    </row>
    <row r="21" spans="1:10" x14ac:dyDescent="0.35">
      <c r="A21" s="12">
        <v>8</v>
      </c>
      <c r="B21" s="14">
        <v>2</v>
      </c>
      <c r="C21" s="14">
        <v>8</v>
      </c>
      <c r="D21" s="27">
        <v>0</v>
      </c>
      <c r="E21" s="14">
        <v>0</v>
      </c>
      <c r="F21" s="14">
        <v>0</v>
      </c>
      <c r="G21" s="14">
        <v>0</v>
      </c>
      <c r="H21" s="28">
        <v>0</v>
      </c>
      <c r="I21" s="14">
        <v>0</v>
      </c>
      <c r="J21" s="24">
        <v>5</v>
      </c>
    </row>
    <row r="22" spans="1:10" x14ac:dyDescent="0.35">
      <c r="A22" s="12">
        <v>9</v>
      </c>
      <c r="B22" s="14">
        <v>2</v>
      </c>
      <c r="C22" s="14">
        <v>9</v>
      </c>
      <c r="D22" s="27">
        <v>1</v>
      </c>
      <c r="E22" s="14">
        <v>0</v>
      </c>
      <c r="F22" s="14">
        <v>0</v>
      </c>
      <c r="G22" s="14">
        <v>1</v>
      </c>
      <c r="H22" s="28">
        <v>0</v>
      </c>
      <c r="I22" s="14">
        <v>1</v>
      </c>
      <c r="J22" s="24">
        <v>2</v>
      </c>
    </row>
    <row r="23" spans="1:10" x14ac:dyDescent="0.35">
      <c r="A23" s="12">
        <v>10</v>
      </c>
      <c r="B23" s="14">
        <v>2</v>
      </c>
      <c r="C23" s="14">
        <v>10</v>
      </c>
      <c r="D23" s="27">
        <v>0</v>
      </c>
      <c r="E23" s="14">
        <v>0</v>
      </c>
      <c r="F23" s="14">
        <v>1</v>
      </c>
      <c r="G23" s="14">
        <v>1</v>
      </c>
      <c r="H23" s="28">
        <v>0</v>
      </c>
      <c r="I23" s="14">
        <v>1</v>
      </c>
      <c r="J23" s="24">
        <v>3</v>
      </c>
    </row>
    <row r="24" spans="1:10" x14ac:dyDescent="0.35">
      <c r="A24" s="12">
        <v>11</v>
      </c>
      <c r="B24" s="14">
        <v>2</v>
      </c>
      <c r="C24" s="14">
        <v>11</v>
      </c>
      <c r="D24" s="27">
        <v>0</v>
      </c>
      <c r="E24" s="14">
        <v>1</v>
      </c>
      <c r="F24" s="14">
        <v>0</v>
      </c>
      <c r="G24" s="14">
        <v>0</v>
      </c>
      <c r="H24" s="28">
        <v>0</v>
      </c>
      <c r="I24" s="14">
        <v>1</v>
      </c>
      <c r="J24" s="24">
        <v>1</v>
      </c>
    </row>
    <row r="25" spans="1:10" x14ac:dyDescent="0.35">
      <c r="A25" s="12">
        <v>12</v>
      </c>
      <c r="B25" s="14">
        <v>2</v>
      </c>
      <c r="C25" s="14">
        <v>12</v>
      </c>
      <c r="D25" s="27">
        <v>0</v>
      </c>
      <c r="E25" s="14">
        <v>1</v>
      </c>
      <c r="F25" s="14">
        <v>0</v>
      </c>
      <c r="G25" s="14">
        <v>1</v>
      </c>
      <c r="H25" s="28">
        <v>0</v>
      </c>
      <c r="I25" s="14">
        <v>0</v>
      </c>
      <c r="J25" s="24">
        <v>6</v>
      </c>
    </row>
    <row r="26" spans="1:10" x14ac:dyDescent="0.35">
      <c r="A26" s="12">
        <v>1</v>
      </c>
      <c r="B26" s="14">
        <v>3</v>
      </c>
      <c r="C26" s="14">
        <v>1</v>
      </c>
      <c r="D26" s="27">
        <v>1</v>
      </c>
      <c r="E26" s="14">
        <v>1</v>
      </c>
      <c r="F26" s="14">
        <v>0</v>
      </c>
      <c r="G26" s="14">
        <v>1</v>
      </c>
      <c r="H26" s="28">
        <v>1</v>
      </c>
      <c r="I26" s="14">
        <v>0</v>
      </c>
      <c r="J26" s="24">
        <v>4</v>
      </c>
    </row>
    <row r="27" spans="1:10" x14ac:dyDescent="0.35">
      <c r="A27" s="12">
        <v>2</v>
      </c>
      <c r="B27" s="14">
        <v>3</v>
      </c>
      <c r="C27" s="14">
        <v>2</v>
      </c>
      <c r="D27" s="27">
        <v>1</v>
      </c>
      <c r="E27" s="14">
        <v>1</v>
      </c>
      <c r="F27" s="14">
        <v>1</v>
      </c>
      <c r="G27" s="14">
        <v>0</v>
      </c>
      <c r="H27" s="28">
        <v>0</v>
      </c>
      <c r="I27" s="14">
        <v>1</v>
      </c>
      <c r="J27" s="24">
        <v>3</v>
      </c>
    </row>
    <row r="28" spans="1:10" x14ac:dyDescent="0.35">
      <c r="A28" s="12">
        <v>3</v>
      </c>
      <c r="B28" s="14">
        <v>3</v>
      </c>
      <c r="C28" s="14">
        <v>3</v>
      </c>
      <c r="D28" s="27">
        <v>0</v>
      </c>
      <c r="E28" s="14">
        <v>0</v>
      </c>
      <c r="F28" s="14">
        <v>1</v>
      </c>
      <c r="G28" s="14">
        <v>1</v>
      </c>
      <c r="H28" s="28">
        <v>1</v>
      </c>
      <c r="I28" s="14">
        <v>0</v>
      </c>
      <c r="J28" s="24">
        <v>2</v>
      </c>
    </row>
    <row r="29" spans="1:10" x14ac:dyDescent="0.35">
      <c r="A29" s="12">
        <v>4</v>
      </c>
      <c r="B29" s="14">
        <v>3</v>
      </c>
      <c r="C29" s="14">
        <v>4</v>
      </c>
      <c r="D29" s="27">
        <v>1</v>
      </c>
      <c r="E29" s="14">
        <v>1</v>
      </c>
      <c r="F29" s="14">
        <v>1</v>
      </c>
      <c r="G29" s="14">
        <v>1</v>
      </c>
      <c r="H29" s="28">
        <v>0</v>
      </c>
      <c r="I29" s="14">
        <v>0</v>
      </c>
      <c r="J29" s="24">
        <v>5</v>
      </c>
    </row>
    <row r="30" spans="1:10" x14ac:dyDescent="0.35">
      <c r="A30" s="12">
        <v>5</v>
      </c>
      <c r="B30" s="14">
        <v>3</v>
      </c>
      <c r="C30" s="14">
        <v>5</v>
      </c>
      <c r="D30" s="27">
        <v>1</v>
      </c>
      <c r="E30" s="14">
        <v>0</v>
      </c>
      <c r="F30" s="14">
        <v>1</v>
      </c>
      <c r="G30" s="14">
        <v>0</v>
      </c>
      <c r="H30" s="28">
        <v>0</v>
      </c>
      <c r="I30" s="14">
        <v>0</v>
      </c>
      <c r="J30" s="24">
        <v>5</v>
      </c>
    </row>
    <row r="31" spans="1:10" x14ac:dyDescent="0.35">
      <c r="A31" s="12">
        <v>6</v>
      </c>
      <c r="B31" s="14">
        <v>3</v>
      </c>
      <c r="C31" s="14">
        <v>6</v>
      </c>
      <c r="D31" s="27">
        <v>1</v>
      </c>
      <c r="E31" s="14">
        <v>0</v>
      </c>
      <c r="F31" s="14">
        <v>0</v>
      </c>
      <c r="G31" s="14">
        <v>0</v>
      </c>
      <c r="H31" s="28">
        <v>1</v>
      </c>
      <c r="I31" s="14">
        <v>0</v>
      </c>
      <c r="J31" s="24">
        <v>3</v>
      </c>
    </row>
    <row r="32" spans="1:10" x14ac:dyDescent="0.35">
      <c r="A32" s="12">
        <v>7</v>
      </c>
      <c r="B32" s="14">
        <v>3</v>
      </c>
      <c r="C32" s="14">
        <v>7</v>
      </c>
      <c r="D32" s="27">
        <v>0</v>
      </c>
      <c r="E32" s="14">
        <v>1</v>
      </c>
      <c r="F32" s="14">
        <v>1</v>
      </c>
      <c r="G32" s="14">
        <v>0</v>
      </c>
      <c r="H32" s="28">
        <v>1</v>
      </c>
      <c r="I32" s="14">
        <v>0</v>
      </c>
      <c r="J32" s="24">
        <v>3</v>
      </c>
    </row>
    <row r="33" spans="1:10" x14ac:dyDescent="0.35">
      <c r="A33" s="12">
        <v>8</v>
      </c>
      <c r="B33" s="14">
        <v>3</v>
      </c>
      <c r="C33" s="14">
        <v>8</v>
      </c>
      <c r="D33" s="27">
        <v>0</v>
      </c>
      <c r="E33" s="14">
        <v>0</v>
      </c>
      <c r="F33" s="14">
        <v>0</v>
      </c>
      <c r="G33" s="14">
        <v>0</v>
      </c>
      <c r="H33" s="28">
        <v>0</v>
      </c>
      <c r="I33" s="14">
        <v>0</v>
      </c>
      <c r="J33" s="24">
        <v>4</v>
      </c>
    </row>
    <row r="34" spans="1:10" x14ac:dyDescent="0.35">
      <c r="A34" s="12">
        <v>9</v>
      </c>
      <c r="B34" s="14">
        <v>3</v>
      </c>
      <c r="C34" s="14">
        <v>9</v>
      </c>
      <c r="D34" s="27">
        <v>1</v>
      </c>
      <c r="E34" s="14">
        <v>0</v>
      </c>
      <c r="F34" s="14">
        <v>0</v>
      </c>
      <c r="G34" s="14">
        <v>1</v>
      </c>
      <c r="H34" s="28">
        <v>0</v>
      </c>
      <c r="I34" s="14">
        <v>1</v>
      </c>
      <c r="J34" s="24">
        <v>1</v>
      </c>
    </row>
    <row r="35" spans="1:10" x14ac:dyDescent="0.35">
      <c r="A35" s="12">
        <v>10</v>
      </c>
      <c r="B35" s="14">
        <v>3</v>
      </c>
      <c r="C35" s="14">
        <v>10</v>
      </c>
      <c r="D35" s="27">
        <v>0</v>
      </c>
      <c r="E35" s="14">
        <v>0</v>
      </c>
      <c r="F35" s="14">
        <v>1</v>
      </c>
      <c r="G35" s="14">
        <v>1</v>
      </c>
      <c r="H35" s="28">
        <v>0</v>
      </c>
      <c r="I35" s="14">
        <v>1</v>
      </c>
      <c r="J35" s="24">
        <v>3</v>
      </c>
    </row>
    <row r="36" spans="1:10" x14ac:dyDescent="0.35">
      <c r="A36" s="12">
        <v>11</v>
      </c>
      <c r="B36" s="14">
        <v>3</v>
      </c>
      <c r="C36" s="14">
        <v>11</v>
      </c>
      <c r="D36" s="27">
        <v>0</v>
      </c>
      <c r="E36" s="14">
        <v>1</v>
      </c>
      <c r="F36" s="14">
        <v>0</v>
      </c>
      <c r="G36" s="14">
        <v>0</v>
      </c>
      <c r="H36" s="28">
        <v>0</v>
      </c>
      <c r="I36" s="14">
        <v>1</v>
      </c>
      <c r="J36" s="24">
        <v>1</v>
      </c>
    </row>
    <row r="37" spans="1:10" x14ac:dyDescent="0.35">
      <c r="A37" s="12">
        <v>12</v>
      </c>
      <c r="B37" s="14">
        <v>3</v>
      </c>
      <c r="C37" s="14">
        <v>12</v>
      </c>
      <c r="D37" s="27">
        <v>0</v>
      </c>
      <c r="E37" s="14">
        <v>1</v>
      </c>
      <c r="F37" s="14">
        <v>0</v>
      </c>
      <c r="G37" s="14">
        <v>1</v>
      </c>
      <c r="H37" s="28">
        <v>0</v>
      </c>
      <c r="I37" s="14">
        <v>0</v>
      </c>
      <c r="J37" s="24">
        <v>6</v>
      </c>
    </row>
    <row r="38" spans="1:10" x14ac:dyDescent="0.35">
      <c r="A38" s="12">
        <v>1</v>
      </c>
      <c r="B38" s="14">
        <v>4</v>
      </c>
      <c r="C38" s="14">
        <v>1</v>
      </c>
      <c r="D38" s="27">
        <v>1</v>
      </c>
      <c r="E38" s="14">
        <v>1</v>
      </c>
      <c r="F38" s="14">
        <v>0</v>
      </c>
      <c r="G38" s="14">
        <v>1</v>
      </c>
      <c r="H38" s="28">
        <v>1</v>
      </c>
      <c r="I38" s="14">
        <v>0</v>
      </c>
      <c r="J38" s="24">
        <v>5</v>
      </c>
    </row>
    <row r="39" spans="1:10" x14ac:dyDescent="0.35">
      <c r="A39" s="12">
        <v>2</v>
      </c>
      <c r="B39" s="14">
        <v>4</v>
      </c>
      <c r="C39" s="14">
        <v>2</v>
      </c>
      <c r="D39" s="27">
        <v>1</v>
      </c>
      <c r="E39" s="14">
        <v>1</v>
      </c>
      <c r="F39" s="14">
        <v>1</v>
      </c>
      <c r="G39" s="14">
        <v>0</v>
      </c>
      <c r="H39" s="28">
        <v>0</v>
      </c>
      <c r="I39" s="14">
        <v>1</v>
      </c>
      <c r="J39" s="24">
        <v>2</v>
      </c>
    </row>
    <row r="40" spans="1:10" x14ac:dyDescent="0.35">
      <c r="A40" s="12">
        <v>3</v>
      </c>
      <c r="B40" s="14">
        <v>4</v>
      </c>
      <c r="C40" s="14">
        <v>3</v>
      </c>
      <c r="D40" s="27">
        <v>0</v>
      </c>
      <c r="E40" s="14">
        <v>0</v>
      </c>
      <c r="F40" s="14">
        <v>1</v>
      </c>
      <c r="G40" s="14">
        <v>1</v>
      </c>
      <c r="H40" s="28">
        <v>1</v>
      </c>
      <c r="I40" s="14">
        <v>0</v>
      </c>
      <c r="J40" s="24">
        <v>3</v>
      </c>
    </row>
    <row r="41" spans="1:10" x14ac:dyDescent="0.35">
      <c r="A41" s="12">
        <v>4</v>
      </c>
      <c r="B41" s="14">
        <v>4</v>
      </c>
      <c r="C41" s="14">
        <v>4</v>
      </c>
      <c r="D41" s="27">
        <v>1</v>
      </c>
      <c r="E41" s="14">
        <v>1</v>
      </c>
      <c r="F41" s="14">
        <v>1</v>
      </c>
      <c r="G41" s="14">
        <v>1</v>
      </c>
      <c r="H41" s="28">
        <v>0</v>
      </c>
      <c r="I41" s="14">
        <v>0</v>
      </c>
      <c r="J41" s="24">
        <v>6</v>
      </c>
    </row>
    <row r="42" spans="1:10" x14ac:dyDescent="0.35">
      <c r="A42" s="12">
        <v>5</v>
      </c>
      <c r="B42" s="14">
        <v>4</v>
      </c>
      <c r="C42" s="14">
        <v>5</v>
      </c>
      <c r="D42" s="27">
        <v>1</v>
      </c>
      <c r="E42" s="14">
        <v>0</v>
      </c>
      <c r="F42" s="14">
        <v>1</v>
      </c>
      <c r="G42" s="14">
        <v>0</v>
      </c>
      <c r="H42" s="28">
        <v>0</v>
      </c>
      <c r="I42" s="14">
        <v>0</v>
      </c>
      <c r="J42" s="24">
        <v>5</v>
      </c>
    </row>
    <row r="43" spans="1:10" x14ac:dyDescent="0.35">
      <c r="A43" s="12">
        <v>6</v>
      </c>
      <c r="B43" s="14">
        <v>4</v>
      </c>
      <c r="C43" s="14">
        <v>6</v>
      </c>
      <c r="D43" s="27">
        <v>1</v>
      </c>
      <c r="E43" s="14">
        <v>0</v>
      </c>
      <c r="F43" s="14">
        <v>0</v>
      </c>
      <c r="G43" s="14">
        <v>0</v>
      </c>
      <c r="H43" s="28">
        <v>1</v>
      </c>
      <c r="I43" s="14">
        <v>0</v>
      </c>
      <c r="J43" s="24">
        <v>3</v>
      </c>
    </row>
    <row r="44" spans="1:10" x14ac:dyDescent="0.35">
      <c r="A44" s="12">
        <v>7</v>
      </c>
      <c r="B44" s="14">
        <v>4</v>
      </c>
      <c r="C44" s="14">
        <v>7</v>
      </c>
      <c r="D44" s="27">
        <v>0</v>
      </c>
      <c r="E44" s="14">
        <v>1</v>
      </c>
      <c r="F44" s="14">
        <v>1</v>
      </c>
      <c r="G44" s="14">
        <v>0</v>
      </c>
      <c r="H44" s="28">
        <v>1</v>
      </c>
      <c r="I44" s="14">
        <v>0</v>
      </c>
      <c r="J44" s="24">
        <v>3</v>
      </c>
    </row>
    <row r="45" spans="1:10" x14ac:dyDescent="0.35">
      <c r="A45" s="12">
        <v>8</v>
      </c>
      <c r="B45" s="14">
        <v>4</v>
      </c>
      <c r="C45" s="14">
        <v>8</v>
      </c>
      <c r="D45" s="27">
        <v>0</v>
      </c>
      <c r="E45" s="14">
        <v>0</v>
      </c>
      <c r="F45" s="14">
        <v>0</v>
      </c>
      <c r="G45" s="14">
        <v>0</v>
      </c>
      <c r="H45" s="28">
        <v>0</v>
      </c>
      <c r="I45" s="14">
        <v>0</v>
      </c>
      <c r="J45" s="24">
        <v>5</v>
      </c>
    </row>
    <row r="46" spans="1:10" x14ac:dyDescent="0.35">
      <c r="A46" s="12">
        <v>9</v>
      </c>
      <c r="B46" s="14">
        <v>4</v>
      </c>
      <c r="C46" s="14">
        <v>9</v>
      </c>
      <c r="D46" s="27">
        <v>1</v>
      </c>
      <c r="E46" s="14">
        <v>0</v>
      </c>
      <c r="F46" s="14">
        <v>0</v>
      </c>
      <c r="G46" s="14">
        <v>1</v>
      </c>
      <c r="H46" s="28">
        <v>0</v>
      </c>
      <c r="I46" s="14">
        <v>1</v>
      </c>
      <c r="J46" s="24">
        <v>1</v>
      </c>
    </row>
    <row r="47" spans="1:10" x14ac:dyDescent="0.35">
      <c r="A47" s="12">
        <v>10</v>
      </c>
      <c r="B47" s="14">
        <v>4</v>
      </c>
      <c r="C47" s="14">
        <v>10</v>
      </c>
      <c r="D47" s="27">
        <v>0</v>
      </c>
      <c r="E47" s="14">
        <v>0</v>
      </c>
      <c r="F47" s="14">
        <v>1</v>
      </c>
      <c r="G47" s="14">
        <v>1</v>
      </c>
      <c r="H47" s="28">
        <v>0</v>
      </c>
      <c r="I47" s="14">
        <v>1</v>
      </c>
      <c r="J47" s="24">
        <v>2</v>
      </c>
    </row>
    <row r="48" spans="1:10" x14ac:dyDescent="0.35">
      <c r="A48" s="12">
        <v>11</v>
      </c>
      <c r="B48" s="14">
        <v>4</v>
      </c>
      <c r="C48" s="14">
        <v>11</v>
      </c>
      <c r="D48" s="27">
        <v>0</v>
      </c>
      <c r="E48" s="14">
        <v>1</v>
      </c>
      <c r="F48" s="14">
        <v>0</v>
      </c>
      <c r="G48" s="14">
        <v>0</v>
      </c>
      <c r="H48" s="28">
        <v>0</v>
      </c>
      <c r="I48" s="14">
        <v>1</v>
      </c>
      <c r="J48" s="24">
        <v>1</v>
      </c>
    </row>
    <row r="49" spans="1:10" x14ac:dyDescent="0.35">
      <c r="A49" s="12">
        <v>12</v>
      </c>
      <c r="B49" s="14">
        <v>4</v>
      </c>
      <c r="C49" s="14">
        <v>12</v>
      </c>
      <c r="D49" s="27">
        <v>0</v>
      </c>
      <c r="E49" s="14">
        <v>1</v>
      </c>
      <c r="F49" s="14">
        <v>0</v>
      </c>
      <c r="G49" s="14">
        <v>1</v>
      </c>
      <c r="H49" s="28">
        <v>0</v>
      </c>
      <c r="I49" s="14">
        <v>0</v>
      </c>
      <c r="J49" s="24">
        <v>5</v>
      </c>
    </row>
    <row r="50" spans="1:10" x14ac:dyDescent="0.35">
      <c r="A50" s="12">
        <v>1</v>
      </c>
      <c r="B50" s="14">
        <v>5</v>
      </c>
      <c r="C50" s="14">
        <v>1</v>
      </c>
      <c r="D50" s="27">
        <v>1</v>
      </c>
      <c r="E50" s="14">
        <v>1</v>
      </c>
      <c r="F50" s="14">
        <v>0</v>
      </c>
      <c r="G50" s="14">
        <v>1</v>
      </c>
      <c r="H50" s="28">
        <v>1</v>
      </c>
      <c r="I50" s="14">
        <v>0</v>
      </c>
      <c r="J50" s="24">
        <v>4</v>
      </c>
    </row>
    <row r="51" spans="1:10" x14ac:dyDescent="0.35">
      <c r="A51" s="12">
        <v>2</v>
      </c>
      <c r="B51" s="14">
        <v>5</v>
      </c>
      <c r="C51" s="14">
        <v>2</v>
      </c>
      <c r="D51" s="27">
        <v>1</v>
      </c>
      <c r="E51" s="14">
        <v>1</v>
      </c>
      <c r="F51" s="14">
        <v>1</v>
      </c>
      <c r="G51" s="14">
        <v>0</v>
      </c>
      <c r="H51" s="28">
        <v>0</v>
      </c>
      <c r="I51" s="14">
        <v>1</v>
      </c>
      <c r="J51" s="24">
        <v>3</v>
      </c>
    </row>
    <row r="52" spans="1:10" x14ac:dyDescent="0.35">
      <c r="A52" s="12">
        <v>3</v>
      </c>
      <c r="B52" s="14">
        <v>5</v>
      </c>
      <c r="C52" s="14">
        <v>3</v>
      </c>
      <c r="D52" s="27">
        <v>0</v>
      </c>
      <c r="E52" s="14">
        <v>0</v>
      </c>
      <c r="F52" s="14">
        <v>1</v>
      </c>
      <c r="G52" s="14">
        <v>1</v>
      </c>
      <c r="H52" s="28">
        <v>1</v>
      </c>
      <c r="I52" s="14">
        <v>0</v>
      </c>
      <c r="J52" s="24">
        <v>2</v>
      </c>
    </row>
    <row r="53" spans="1:10" x14ac:dyDescent="0.35">
      <c r="A53" s="12">
        <v>4</v>
      </c>
      <c r="B53" s="14">
        <v>5</v>
      </c>
      <c r="C53" s="14">
        <v>4</v>
      </c>
      <c r="D53" s="27">
        <v>1</v>
      </c>
      <c r="E53" s="14">
        <v>1</v>
      </c>
      <c r="F53" s="14">
        <v>1</v>
      </c>
      <c r="G53" s="14">
        <v>1</v>
      </c>
      <c r="H53" s="28">
        <v>0</v>
      </c>
      <c r="I53" s="14">
        <v>0</v>
      </c>
      <c r="J53" s="24">
        <v>5</v>
      </c>
    </row>
    <row r="54" spans="1:10" x14ac:dyDescent="0.35">
      <c r="A54" s="12">
        <v>5</v>
      </c>
      <c r="B54" s="14">
        <v>5</v>
      </c>
      <c r="C54" s="14">
        <v>5</v>
      </c>
      <c r="D54" s="27">
        <v>1</v>
      </c>
      <c r="E54" s="14">
        <v>0</v>
      </c>
      <c r="F54" s="14">
        <v>1</v>
      </c>
      <c r="G54" s="14">
        <v>0</v>
      </c>
      <c r="H54" s="28">
        <v>0</v>
      </c>
      <c r="I54" s="14">
        <v>0</v>
      </c>
      <c r="J54" s="24">
        <v>4</v>
      </c>
    </row>
    <row r="55" spans="1:10" x14ac:dyDescent="0.35">
      <c r="A55" s="12">
        <v>6</v>
      </c>
      <c r="B55" s="14">
        <v>5</v>
      </c>
      <c r="C55" s="14">
        <v>6</v>
      </c>
      <c r="D55" s="27">
        <v>1</v>
      </c>
      <c r="E55" s="14">
        <v>0</v>
      </c>
      <c r="F55" s="14">
        <v>0</v>
      </c>
      <c r="G55" s="14">
        <v>0</v>
      </c>
      <c r="H55" s="28">
        <v>1</v>
      </c>
      <c r="I55" s="14">
        <v>0</v>
      </c>
      <c r="J55" s="24">
        <v>3</v>
      </c>
    </row>
    <row r="56" spans="1:10" x14ac:dyDescent="0.35">
      <c r="A56" s="12">
        <v>7</v>
      </c>
      <c r="B56" s="14">
        <v>5</v>
      </c>
      <c r="C56" s="14">
        <v>7</v>
      </c>
      <c r="D56" s="27">
        <v>0</v>
      </c>
      <c r="E56" s="14">
        <v>1</v>
      </c>
      <c r="F56" s="14">
        <v>1</v>
      </c>
      <c r="G56" s="14">
        <v>0</v>
      </c>
      <c r="H56" s="28">
        <v>1</v>
      </c>
      <c r="I56" s="14">
        <v>0</v>
      </c>
      <c r="J56" s="24">
        <v>4</v>
      </c>
    </row>
    <row r="57" spans="1:10" x14ac:dyDescent="0.35">
      <c r="A57" s="12">
        <v>8</v>
      </c>
      <c r="B57" s="14">
        <v>5</v>
      </c>
      <c r="C57" s="14">
        <v>8</v>
      </c>
      <c r="D57" s="27">
        <v>0</v>
      </c>
      <c r="E57" s="14">
        <v>0</v>
      </c>
      <c r="F57" s="14">
        <v>0</v>
      </c>
      <c r="G57" s="14">
        <v>0</v>
      </c>
      <c r="H57" s="28">
        <v>0</v>
      </c>
      <c r="I57" s="14">
        <v>0</v>
      </c>
      <c r="J57" s="24">
        <v>4</v>
      </c>
    </row>
    <row r="58" spans="1:10" x14ac:dyDescent="0.35">
      <c r="A58" s="12">
        <v>9</v>
      </c>
      <c r="B58" s="14">
        <v>5</v>
      </c>
      <c r="C58" s="14">
        <v>9</v>
      </c>
      <c r="D58" s="27">
        <v>1</v>
      </c>
      <c r="E58" s="14">
        <v>0</v>
      </c>
      <c r="F58" s="14">
        <v>0</v>
      </c>
      <c r="G58" s="14">
        <v>1</v>
      </c>
      <c r="H58" s="28">
        <v>0</v>
      </c>
      <c r="I58" s="14">
        <v>1</v>
      </c>
      <c r="J58" s="24">
        <v>2</v>
      </c>
    </row>
    <row r="59" spans="1:10" x14ac:dyDescent="0.35">
      <c r="A59" s="12">
        <v>10</v>
      </c>
      <c r="B59" s="14">
        <v>5</v>
      </c>
      <c r="C59" s="14">
        <v>10</v>
      </c>
      <c r="D59" s="27">
        <v>0</v>
      </c>
      <c r="E59" s="14">
        <v>0</v>
      </c>
      <c r="F59" s="14">
        <v>1</v>
      </c>
      <c r="G59" s="14">
        <v>1</v>
      </c>
      <c r="H59" s="28">
        <v>0</v>
      </c>
      <c r="I59" s="14">
        <v>1</v>
      </c>
      <c r="J59" s="24">
        <v>3</v>
      </c>
    </row>
    <row r="60" spans="1:10" x14ac:dyDescent="0.35">
      <c r="A60" s="12">
        <v>11</v>
      </c>
      <c r="B60" s="14">
        <v>5</v>
      </c>
      <c r="C60" s="14">
        <v>11</v>
      </c>
      <c r="D60" s="27">
        <v>0</v>
      </c>
      <c r="E60" s="14">
        <v>1</v>
      </c>
      <c r="F60" s="14">
        <v>0</v>
      </c>
      <c r="G60" s="14">
        <v>0</v>
      </c>
      <c r="H60" s="28">
        <v>0</v>
      </c>
      <c r="I60" s="14">
        <v>1</v>
      </c>
      <c r="J60" s="24">
        <v>2</v>
      </c>
    </row>
    <row r="61" spans="1:10" x14ac:dyDescent="0.35">
      <c r="A61" s="12">
        <v>12</v>
      </c>
      <c r="B61" s="14">
        <v>5</v>
      </c>
      <c r="C61" s="14">
        <v>12</v>
      </c>
      <c r="D61" s="27">
        <v>0</v>
      </c>
      <c r="E61" s="14">
        <v>1</v>
      </c>
      <c r="F61" s="14">
        <v>0</v>
      </c>
      <c r="G61" s="14">
        <v>1</v>
      </c>
      <c r="H61" s="28">
        <v>0</v>
      </c>
      <c r="I61" s="14">
        <v>0</v>
      </c>
      <c r="J61" s="24">
        <v>6</v>
      </c>
    </row>
    <row r="62" spans="1:10" x14ac:dyDescent="0.35">
      <c r="A62" s="12">
        <v>1</v>
      </c>
      <c r="B62" s="14">
        <v>6</v>
      </c>
      <c r="C62" s="14">
        <v>1</v>
      </c>
      <c r="D62" s="27">
        <v>1</v>
      </c>
      <c r="E62" s="14">
        <v>1</v>
      </c>
      <c r="F62" s="14">
        <v>0</v>
      </c>
      <c r="G62" s="14">
        <v>1</v>
      </c>
      <c r="H62" s="28">
        <v>1</v>
      </c>
      <c r="I62" s="14">
        <v>0</v>
      </c>
      <c r="J62" s="24">
        <v>5</v>
      </c>
    </row>
    <row r="63" spans="1:10" x14ac:dyDescent="0.35">
      <c r="A63" s="12">
        <v>2</v>
      </c>
      <c r="B63" s="14">
        <v>6</v>
      </c>
      <c r="C63" s="14">
        <v>2</v>
      </c>
      <c r="D63" s="27">
        <v>1</v>
      </c>
      <c r="E63" s="14">
        <v>1</v>
      </c>
      <c r="F63" s="14">
        <v>1</v>
      </c>
      <c r="G63" s="14">
        <v>0</v>
      </c>
      <c r="H63" s="28">
        <v>0</v>
      </c>
      <c r="I63" s="14">
        <v>1</v>
      </c>
      <c r="J63" s="24">
        <v>3</v>
      </c>
    </row>
    <row r="64" spans="1:10" x14ac:dyDescent="0.35">
      <c r="A64" s="12">
        <v>3</v>
      </c>
      <c r="B64" s="14">
        <v>6</v>
      </c>
      <c r="C64" s="14">
        <v>3</v>
      </c>
      <c r="D64" s="27">
        <v>0</v>
      </c>
      <c r="E64" s="14">
        <v>0</v>
      </c>
      <c r="F64" s="14">
        <v>1</v>
      </c>
      <c r="G64" s="14">
        <v>1</v>
      </c>
      <c r="H64" s="28">
        <v>1</v>
      </c>
      <c r="I64" s="14">
        <v>0</v>
      </c>
      <c r="J64" s="24">
        <v>2</v>
      </c>
    </row>
    <row r="65" spans="1:10" x14ac:dyDescent="0.35">
      <c r="A65" s="12">
        <v>4</v>
      </c>
      <c r="B65" s="14">
        <v>6</v>
      </c>
      <c r="C65" s="14">
        <v>4</v>
      </c>
      <c r="D65" s="27">
        <v>1</v>
      </c>
      <c r="E65" s="14">
        <v>1</v>
      </c>
      <c r="F65" s="14">
        <v>1</v>
      </c>
      <c r="G65" s="14">
        <v>1</v>
      </c>
      <c r="H65" s="28">
        <v>0</v>
      </c>
      <c r="I65" s="14">
        <v>0</v>
      </c>
      <c r="J65" s="24">
        <v>6</v>
      </c>
    </row>
    <row r="66" spans="1:10" x14ac:dyDescent="0.35">
      <c r="A66" s="12">
        <v>5</v>
      </c>
      <c r="B66" s="14">
        <v>6</v>
      </c>
      <c r="C66" s="14">
        <v>5</v>
      </c>
      <c r="D66" s="27">
        <v>1</v>
      </c>
      <c r="E66" s="14">
        <v>0</v>
      </c>
      <c r="F66" s="14">
        <v>1</v>
      </c>
      <c r="G66" s="14">
        <v>0</v>
      </c>
      <c r="H66" s="28">
        <v>0</v>
      </c>
      <c r="I66" s="14">
        <v>0</v>
      </c>
      <c r="J66" s="24">
        <v>5</v>
      </c>
    </row>
    <row r="67" spans="1:10" x14ac:dyDescent="0.35">
      <c r="A67" s="12">
        <v>6</v>
      </c>
      <c r="B67" s="14">
        <v>6</v>
      </c>
      <c r="C67" s="14">
        <v>6</v>
      </c>
      <c r="D67" s="27">
        <v>1</v>
      </c>
      <c r="E67" s="14">
        <v>0</v>
      </c>
      <c r="F67" s="14">
        <v>0</v>
      </c>
      <c r="G67" s="14">
        <v>0</v>
      </c>
      <c r="H67" s="28">
        <v>1</v>
      </c>
      <c r="I67" s="14">
        <v>0</v>
      </c>
      <c r="J67" s="24">
        <v>3</v>
      </c>
    </row>
    <row r="68" spans="1:10" x14ac:dyDescent="0.35">
      <c r="A68" s="12">
        <v>7</v>
      </c>
      <c r="B68" s="14">
        <v>6</v>
      </c>
      <c r="C68" s="14">
        <v>7</v>
      </c>
      <c r="D68" s="27">
        <v>0</v>
      </c>
      <c r="E68" s="14">
        <v>1</v>
      </c>
      <c r="F68" s="14">
        <v>1</v>
      </c>
      <c r="G68" s="14">
        <v>0</v>
      </c>
      <c r="H68" s="28">
        <v>1</v>
      </c>
      <c r="I68" s="14">
        <v>0</v>
      </c>
      <c r="J68" s="24">
        <v>4</v>
      </c>
    </row>
    <row r="69" spans="1:10" x14ac:dyDescent="0.35">
      <c r="A69" s="12">
        <v>8</v>
      </c>
      <c r="B69" s="14">
        <v>6</v>
      </c>
      <c r="C69" s="14">
        <v>8</v>
      </c>
      <c r="D69" s="27">
        <v>0</v>
      </c>
      <c r="E69" s="14">
        <v>0</v>
      </c>
      <c r="F69" s="14">
        <v>0</v>
      </c>
      <c r="G69" s="14">
        <v>0</v>
      </c>
      <c r="H69" s="28">
        <v>0</v>
      </c>
      <c r="I69" s="14">
        <v>0</v>
      </c>
      <c r="J69" s="24">
        <v>5</v>
      </c>
    </row>
    <row r="70" spans="1:10" x14ac:dyDescent="0.35">
      <c r="A70" s="12">
        <v>9</v>
      </c>
      <c r="B70" s="14">
        <v>6</v>
      </c>
      <c r="C70" s="14">
        <v>9</v>
      </c>
      <c r="D70" s="27">
        <v>1</v>
      </c>
      <c r="E70" s="14">
        <v>0</v>
      </c>
      <c r="F70" s="14">
        <v>0</v>
      </c>
      <c r="G70" s="14">
        <v>1</v>
      </c>
      <c r="H70" s="28">
        <v>0</v>
      </c>
      <c r="I70" s="14">
        <v>1</v>
      </c>
      <c r="J70" s="24">
        <v>1</v>
      </c>
    </row>
    <row r="71" spans="1:10" x14ac:dyDescent="0.35">
      <c r="A71" s="12">
        <v>10</v>
      </c>
      <c r="B71" s="14">
        <v>6</v>
      </c>
      <c r="C71" s="14">
        <v>10</v>
      </c>
      <c r="D71" s="27">
        <v>0</v>
      </c>
      <c r="E71" s="14">
        <v>0</v>
      </c>
      <c r="F71" s="14">
        <v>1</v>
      </c>
      <c r="G71" s="14">
        <v>1</v>
      </c>
      <c r="H71" s="28">
        <v>0</v>
      </c>
      <c r="I71" s="14">
        <v>1</v>
      </c>
      <c r="J71" s="24">
        <v>3</v>
      </c>
    </row>
    <row r="72" spans="1:10" x14ac:dyDescent="0.35">
      <c r="A72" s="12">
        <v>11</v>
      </c>
      <c r="B72" s="14">
        <v>6</v>
      </c>
      <c r="C72" s="14">
        <v>11</v>
      </c>
      <c r="D72" s="27">
        <v>0</v>
      </c>
      <c r="E72" s="14">
        <v>1</v>
      </c>
      <c r="F72" s="14">
        <v>0</v>
      </c>
      <c r="G72" s="14">
        <v>0</v>
      </c>
      <c r="H72" s="28">
        <v>0</v>
      </c>
      <c r="I72" s="14">
        <v>1</v>
      </c>
      <c r="J72" s="24">
        <v>2</v>
      </c>
    </row>
    <row r="73" spans="1:10" x14ac:dyDescent="0.35">
      <c r="A73" s="12">
        <v>12</v>
      </c>
      <c r="B73" s="14">
        <v>6</v>
      </c>
      <c r="C73" s="14">
        <v>12</v>
      </c>
      <c r="D73" s="27">
        <v>0</v>
      </c>
      <c r="E73" s="14">
        <v>1</v>
      </c>
      <c r="F73" s="14">
        <v>0</v>
      </c>
      <c r="G73" s="14">
        <v>1</v>
      </c>
      <c r="H73" s="28">
        <v>0</v>
      </c>
      <c r="I73" s="14">
        <v>0</v>
      </c>
      <c r="J73" s="24">
        <v>6</v>
      </c>
    </row>
    <row r="74" spans="1:10" x14ac:dyDescent="0.35">
      <c r="A74" s="12">
        <v>1</v>
      </c>
      <c r="B74" s="14">
        <v>7</v>
      </c>
      <c r="C74" s="14">
        <v>1</v>
      </c>
      <c r="D74" s="27">
        <v>1</v>
      </c>
      <c r="E74" s="14">
        <v>1</v>
      </c>
      <c r="F74" s="14">
        <v>0</v>
      </c>
      <c r="G74" s="14">
        <v>1</v>
      </c>
      <c r="H74" s="28">
        <v>1</v>
      </c>
      <c r="I74" s="14">
        <v>0</v>
      </c>
      <c r="J74" s="24">
        <v>5</v>
      </c>
    </row>
    <row r="75" spans="1:10" x14ac:dyDescent="0.35">
      <c r="A75" s="12">
        <v>2</v>
      </c>
      <c r="B75" s="14">
        <v>7</v>
      </c>
      <c r="C75" s="14">
        <v>2</v>
      </c>
      <c r="D75" s="27">
        <v>1</v>
      </c>
      <c r="E75" s="14">
        <v>1</v>
      </c>
      <c r="F75" s="14">
        <v>1</v>
      </c>
      <c r="G75" s="14">
        <v>0</v>
      </c>
      <c r="H75" s="28">
        <v>0</v>
      </c>
      <c r="I75" s="14">
        <v>1</v>
      </c>
      <c r="J75" s="24">
        <v>2</v>
      </c>
    </row>
    <row r="76" spans="1:10" x14ac:dyDescent="0.35">
      <c r="A76" s="12">
        <v>3</v>
      </c>
      <c r="B76" s="14">
        <v>7</v>
      </c>
      <c r="C76" s="14">
        <v>3</v>
      </c>
      <c r="D76" s="27">
        <v>0</v>
      </c>
      <c r="E76" s="14">
        <v>0</v>
      </c>
      <c r="F76" s="14">
        <v>1</v>
      </c>
      <c r="G76" s="14">
        <v>1</v>
      </c>
      <c r="H76" s="28">
        <v>1</v>
      </c>
      <c r="I76" s="14">
        <v>0</v>
      </c>
      <c r="J76" s="24">
        <v>3</v>
      </c>
    </row>
    <row r="77" spans="1:10" x14ac:dyDescent="0.35">
      <c r="A77" s="12">
        <v>4</v>
      </c>
      <c r="B77" s="14">
        <v>7</v>
      </c>
      <c r="C77" s="14">
        <v>4</v>
      </c>
      <c r="D77" s="27">
        <v>1</v>
      </c>
      <c r="E77" s="14">
        <v>1</v>
      </c>
      <c r="F77" s="14">
        <v>1</v>
      </c>
      <c r="G77" s="14">
        <v>1</v>
      </c>
      <c r="H77" s="28">
        <v>0</v>
      </c>
      <c r="I77" s="14">
        <v>0</v>
      </c>
      <c r="J77" s="24">
        <v>6</v>
      </c>
    </row>
    <row r="78" spans="1:10" x14ac:dyDescent="0.35">
      <c r="A78" s="12">
        <v>5</v>
      </c>
      <c r="B78" s="14">
        <v>7</v>
      </c>
      <c r="C78" s="14">
        <v>5</v>
      </c>
      <c r="D78" s="27">
        <v>1</v>
      </c>
      <c r="E78" s="14">
        <v>0</v>
      </c>
      <c r="F78" s="14">
        <v>1</v>
      </c>
      <c r="G78" s="14">
        <v>0</v>
      </c>
      <c r="H78" s="28">
        <v>0</v>
      </c>
      <c r="I78" s="14">
        <v>0</v>
      </c>
      <c r="J78" s="24">
        <v>4</v>
      </c>
    </row>
    <row r="79" spans="1:10" x14ac:dyDescent="0.35">
      <c r="A79" s="12">
        <v>6</v>
      </c>
      <c r="B79" s="14">
        <v>7</v>
      </c>
      <c r="C79" s="14">
        <v>6</v>
      </c>
      <c r="D79" s="27">
        <v>1</v>
      </c>
      <c r="E79" s="14">
        <v>0</v>
      </c>
      <c r="F79" s="14">
        <v>0</v>
      </c>
      <c r="G79" s="14">
        <v>0</v>
      </c>
      <c r="H79" s="28">
        <v>1</v>
      </c>
      <c r="I79" s="14">
        <v>0</v>
      </c>
      <c r="J79" s="24">
        <v>2</v>
      </c>
    </row>
    <row r="80" spans="1:10" x14ac:dyDescent="0.35">
      <c r="A80" s="12">
        <v>7</v>
      </c>
      <c r="B80" s="14">
        <v>7</v>
      </c>
      <c r="C80" s="14">
        <v>7</v>
      </c>
      <c r="D80" s="27">
        <v>0</v>
      </c>
      <c r="E80" s="14">
        <v>1</v>
      </c>
      <c r="F80" s="14">
        <v>1</v>
      </c>
      <c r="G80" s="14">
        <v>0</v>
      </c>
      <c r="H80" s="28">
        <v>1</v>
      </c>
      <c r="I80" s="14">
        <v>0</v>
      </c>
      <c r="J80" s="24">
        <v>3</v>
      </c>
    </row>
    <row r="81" spans="1:10" x14ac:dyDescent="0.35">
      <c r="A81" s="12">
        <v>8</v>
      </c>
      <c r="B81" s="14">
        <v>7</v>
      </c>
      <c r="C81" s="14">
        <v>8</v>
      </c>
      <c r="D81" s="27">
        <v>0</v>
      </c>
      <c r="E81" s="14">
        <v>0</v>
      </c>
      <c r="F81" s="14">
        <v>0</v>
      </c>
      <c r="G81" s="14">
        <v>0</v>
      </c>
      <c r="H81" s="28">
        <v>0</v>
      </c>
      <c r="I81" s="14">
        <v>0</v>
      </c>
      <c r="J81" s="24">
        <v>5</v>
      </c>
    </row>
    <row r="82" spans="1:10" x14ac:dyDescent="0.35">
      <c r="A82" s="12">
        <v>9</v>
      </c>
      <c r="B82" s="14">
        <v>7</v>
      </c>
      <c r="C82" s="14">
        <v>9</v>
      </c>
      <c r="D82" s="27">
        <v>1</v>
      </c>
      <c r="E82" s="14">
        <v>0</v>
      </c>
      <c r="F82" s="14">
        <v>0</v>
      </c>
      <c r="G82" s="14">
        <v>1</v>
      </c>
      <c r="H82" s="28">
        <v>0</v>
      </c>
      <c r="I82" s="14">
        <v>1</v>
      </c>
      <c r="J82" s="24">
        <v>2</v>
      </c>
    </row>
    <row r="83" spans="1:10" x14ac:dyDescent="0.35">
      <c r="A83" s="12">
        <v>10</v>
      </c>
      <c r="B83" s="14">
        <v>7</v>
      </c>
      <c r="C83" s="14">
        <v>10</v>
      </c>
      <c r="D83" s="27">
        <v>0</v>
      </c>
      <c r="E83" s="14">
        <v>0</v>
      </c>
      <c r="F83" s="14">
        <v>1</v>
      </c>
      <c r="G83" s="14">
        <v>1</v>
      </c>
      <c r="H83" s="28">
        <v>0</v>
      </c>
      <c r="I83" s="14">
        <v>1</v>
      </c>
      <c r="J83" s="24">
        <v>2</v>
      </c>
    </row>
    <row r="84" spans="1:10" x14ac:dyDescent="0.35">
      <c r="A84" s="12">
        <v>11</v>
      </c>
      <c r="B84" s="14">
        <v>7</v>
      </c>
      <c r="C84" s="14">
        <v>11</v>
      </c>
      <c r="D84" s="27">
        <v>0</v>
      </c>
      <c r="E84" s="14">
        <v>1</v>
      </c>
      <c r="F84" s="14">
        <v>0</v>
      </c>
      <c r="G84" s="14">
        <v>0</v>
      </c>
      <c r="H84" s="28">
        <v>0</v>
      </c>
      <c r="I84" s="14">
        <v>1</v>
      </c>
      <c r="J84" s="24">
        <v>1</v>
      </c>
    </row>
    <row r="85" spans="1:10" x14ac:dyDescent="0.35">
      <c r="A85" s="12">
        <v>12</v>
      </c>
      <c r="B85" s="14">
        <v>7</v>
      </c>
      <c r="C85" s="14">
        <v>12</v>
      </c>
      <c r="D85" s="27">
        <v>0</v>
      </c>
      <c r="E85" s="14">
        <v>1</v>
      </c>
      <c r="F85" s="14">
        <v>0</v>
      </c>
      <c r="G85" s="14">
        <v>1</v>
      </c>
      <c r="H85" s="28">
        <v>0</v>
      </c>
      <c r="I85" s="14">
        <v>0</v>
      </c>
      <c r="J85" s="24">
        <v>5</v>
      </c>
    </row>
    <row r="86" spans="1:10" x14ac:dyDescent="0.35">
      <c r="A86" s="12">
        <v>1</v>
      </c>
      <c r="B86" s="14">
        <v>8</v>
      </c>
      <c r="C86" s="14">
        <v>1</v>
      </c>
      <c r="D86" s="27">
        <v>1</v>
      </c>
      <c r="E86" s="14">
        <v>1</v>
      </c>
      <c r="F86" s="14">
        <v>0</v>
      </c>
      <c r="G86" s="14">
        <v>1</v>
      </c>
      <c r="H86" s="28">
        <v>1</v>
      </c>
      <c r="I86" s="14">
        <v>0</v>
      </c>
      <c r="J86" s="24">
        <v>5</v>
      </c>
    </row>
    <row r="87" spans="1:10" x14ac:dyDescent="0.35">
      <c r="A87" s="12">
        <v>2</v>
      </c>
      <c r="B87" s="14">
        <v>8</v>
      </c>
      <c r="C87" s="14">
        <v>2</v>
      </c>
      <c r="D87" s="27">
        <v>1</v>
      </c>
      <c r="E87" s="14">
        <v>1</v>
      </c>
      <c r="F87" s="14">
        <v>1</v>
      </c>
      <c r="G87" s="14">
        <v>0</v>
      </c>
      <c r="H87" s="28">
        <v>0</v>
      </c>
      <c r="I87" s="14">
        <v>1</v>
      </c>
      <c r="J87" s="24">
        <v>3</v>
      </c>
    </row>
    <row r="88" spans="1:10" x14ac:dyDescent="0.35">
      <c r="A88" s="12">
        <v>3</v>
      </c>
      <c r="B88" s="14">
        <v>8</v>
      </c>
      <c r="C88" s="14">
        <v>3</v>
      </c>
      <c r="D88" s="27">
        <v>0</v>
      </c>
      <c r="E88" s="14">
        <v>0</v>
      </c>
      <c r="F88" s="14">
        <v>1</v>
      </c>
      <c r="G88" s="14">
        <v>1</v>
      </c>
      <c r="H88" s="28">
        <v>1</v>
      </c>
      <c r="I88" s="14">
        <v>0</v>
      </c>
      <c r="J88" s="24">
        <v>3</v>
      </c>
    </row>
    <row r="89" spans="1:10" x14ac:dyDescent="0.35">
      <c r="A89" s="12">
        <v>4</v>
      </c>
      <c r="B89" s="14">
        <v>8</v>
      </c>
      <c r="C89" s="14">
        <v>4</v>
      </c>
      <c r="D89" s="27">
        <v>1</v>
      </c>
      <c r="E89" s="14">
        <v>1</v>
      </c>
      <c r="F89" s="14">
        <v>1</v>
      </c>
      <c r="G89" s="14">
        <v>1</v>
      </c>
      <c r="H89" s="28">
        <v>0</v>
      </c>
      <c r="I89" s="14">
        <v>0</v>
      </c>
      <c r="J89" s="24">
        <v>6</v>
      </c>
    </row>
    <row r="90" spans="1:10" x14ac:dyDescent="0.35">
      <c r="A90" s="12">
        <v>5</v>
      </c>
      <c r="B90" s="14">
        <v>8</v>
      </c>
      <c r="C90" s="14">
        <v>5</v>
      </c>
      <c r="D90" s="27">
        <v>1</v>
      </c>
      <c r="E90" s="14">
        <v>0</v>
      </c>
      <c r="F90" s="14">
        <v>1</v>
      </c>
      <c r="G90" s="14">
        <v>0</v>
      </c>
      <c r="H90" s="28">
        <v>0</v>
      </c>
      <c r="I90" s="14">
        <v>0</v>
      </c>
      <c r="J90" s="24">
        <v>4</v>
      </c>
    </row>
    <row r="91" spans="1:10" x14ac:dyDescent="0.35">
      <c r="A91" s="12">
        <v>6</v>
      </c>
      <c r="B91" s="14">
        <v>8</v>
      </c>
      <c r="C91" s="14">
        <v>6</v>
      </c>
      <c r="D91" s="27">
        <v>1</v>
      </c>
      <c r="E91" s="14">
        <v>0</v>
      </c>
      <c r="F91" s="14">
        <v>0</v>
      </c>
      <c r="G91" s="14">
        <v>0</v>
      </c>
      <c r="H91" s="28">
        <v>1</v>
      </c>
      <c r="I91" s="14">
        <v>0</v>
      </c>
      <c r="J91" s="24">
        <v>3</v>
      </c>
    </row>
    <row r="92" spans="1:10" x14ac:dyDescent="0.35">
      <c r="A92" s="12">
        <v>7</v>
      </c>
      <c r="B92" s="14">
        <v>8</v>
      </c>
      <c r="C92" s="14">
        <v>7</v>
      </c>
      <c r="D92" s="27">
        <v>0</v>
      </c>
      <c r="E92" s="14">
        <v>1</v>
      </c>
      <c r="F92" s="14">
        <v>1</v>
      </c>
      <c r="G92" s="14">
        <v>0</v>
      </c>
      <c r="H92" s="28">
        <v>1</v>
      </c>
      <c r="I92" s="14">
        <v>0</v>
      </c>
      <c r="J92" s="24">
        <v>4</v>
      </c>
    </row>
    <row r="93" spans="1:10" x14ac:dyDescent="0.35">
      <c r="A93" s="12">
        <v>8</v>
      </c>
      <c r="B93" s="14">
        <v>8</v>
      </c>
      <c r="C93" s="14">
        <v>8</v>
      </c>
      <c r="D93" s="27">
        <v>0</v>
      </c>
      <c r="E93" s="14">
        <v>0</v>
      </c>
      <c r="F93" s="14">
        <v>0</v>
      </c>
      <c r="G93" s="14">
        <v>0</v>
      </c>
      <c r="H93" s="28">
        <v>0</v>
      </c>
      <c r="I93" s="14">
        <v>0</v>
      </c>
      <c r="J93" s="24">
        <v>4</v>
      </c>
    </row>
    <row r="94" spans="1:10" x14ac:dyDescent="0.35">
      <c r="A94" s="12">
        <v>9</v>
      </c>
      <c r="B94" s="14">
        <v>8</v>
      </c>
      <c r="C94" s="14">
        <v>9</v>
      </c>
      <c r="D94" s="27">
        <v>1</v>
      </c>
      <c r="E94" s="14">
        <v>0</v>
      </c>
      <c r="F94" s="14">
        <v>0</v>
      </c>
      <c r="G94" s="14">
        <v>1</v>
      </c>
      <c r="H94" s="28">
        <v>0</v>
      </c>
      <c r="I94" s="14">
        <v>1</v>
      </c>
      <c r="J94" s="24">
        <v>1</v>
      </c>
    </row>
    <row r="95" spans="1:10" x14ac:dyDescent="0.35">
      <c r="A95" s="12">
        <v>10</v>
      </c>
      <c r="B95" s="14">
        <v>8</v>
      </c>
      <c r="C95" s="14">
        <v>10</v>
      </c>
      <c r="D95" s="27">
        <v>0</v>
      </c>
      <c r="E95" s="14">
        <v>0</v>
      </c>
      <c r="F95" s="14">
        <v>1</v>
      </c>
      <c r="G95" s="14">
        <v>1</v>
      </c>
      <c r="H95" s="28">
        <v>0</v>
      </c>
      <c r="I95" s="14">
        <v>1</v>
      </c>
      <c r="J95" s="24">
        <v>3</v>
      </c>
    </row>
    <row r="96" spans="1:10" x14ac:dyDescent="0.35">
      <c r="A96" s="12">
        <v>11</v>
      </c>
      <c r="B96" s="14">
        <v>8</v>
      </c>
      <c r="C96" s="14">
        <v>11</v>
      </c>
      <c r="D96" s="27">
        <v>0</v>
      </c>
      <c r="E96" s="14">
        <v>1</v>
      </c>
      <c r="F96" s="14">
        <v>0</v>
      </c>
      <c r="G96" s="14">
        <v>0</v>
      </c>
      <c r="H96" s="28">
        <v>0</v>
      </c>
      <c r="I96" s="14">
        <v>1</v>
      </c>
      <c r="J96" s="24">
        <v>2</v>
      </c>
    </row>
    <row r="97" spans="1:10" x14ac:dyDescent="0.35">
      <c r="A97" s="12">
        <v>12</v>
      </c>
      <c r="B97" s="14">
        <v>8</v>
      </c>
      <c r="C97" s="14">
        <v>12</v>
      </c>
      <c r="D97" s="27">
        <v>0</v>
      </c>
      <c r="E97" s="14">
        <v>1</v>
      </c>
      <c r="F97" s="14">
        <v>0</v>
      </c>
      <c r="G97" s="14">
        <v>1</v>
      </c>
      <c r="H97" s="28">
        <v>0</v>
      </c>
      <c r="I97" s="14">
        <v>0</v>
      </c>
      <c r="J97" s="24">
        <v>6</v>
      </c>
    </row>
    <row r="98" spans="1:10" x14ac:dyDescent="0.35">
      <c r="A98" s="12">
        <v>1</v>
      </c>
      <c r="B98" s="14">
        <v>9</v>
      </c>
      <c r="C98" s="14">
        <v>1</v>
      </c>
      <c r="D98" s="27">
        <v>1</v>
      </c>
      <c r="E98" s="14">
        <v>1</v>
      </c>
      <c r="F98" s="14">
        <v>0</v>
      </c>
      <c r="G98" s="14">
        <v>1</v>
      </c>
      <c r="H98" s="28">
        <v>1</v>
      </c>
      <c r="I98" s="14">
        <v>0</v>
      </c>
      <c r="J98" s="24">
        <v>5</v>
      </c>
    </row>
    <row r="99" spans="1:10" x14ac:dyDescent="0.35">
      <c r="A99" s="12">
        <v>2</v>
      </c>
      <c r="B99" s="14">
        <v>9</v>
      </c>
      <c r="C99" s="14">
        <v>2</v>
      </c>
      <c r="D99" s="27">
        <v>1</v>
      </c>
      <c r="E99" s="14">
        <v>1</v>
      </c>
      <c r="F99" s="14">
        <v>1</v>
      </c>
      <c r="G99" s="14">
        <v>0</v>
      </c>
      <c r="H99" s="28">
        <v>0</v>
      </c>
      <c r="I99" s="14">
        <v>1</v>
      </c>
      <c r="J99" s="24">
        <v>3</v>
      </c>
    </row>
    <row r="100" spans="1:10" x14ac:dyDescent="0.35">
      <c r="A100" s="12">
        <v>3</v>
      </c>
      <c r="B100" s="14">
        <v>9</v>
      </c>
      <c r="C100" s="14">
        <v>3</v>
      </c>
      <c r="D100" s="27">
        <v>0</v>
      </c>
      <c r="E100" s="14">
        <v>0</v>
      </c>
      <c r="F100" s="14">
        <v>1</v>
      </c>
      <c r="G100" s="14">
        <v>1</v>
      </c>
      <c r="H100" s="28">
        <v>1</v>
      </c>
      <c r="I100" s="14">
        <v>0</v>
      </c>
      <c r="J100" s="24">
        <v>2</v>
      </c>
    </row>
    <row r="101" spans="1:10" x14ac:dyDescent="0.35">
      <c r="A101" s="12">
        <v>4</v>
      </c>
      <c r="B101" s="14">
        <v>9</v>
      </c>
      <c r="C101" s="14">
        <v>4</v>
      </c>
      <c r="D101" s="27">
        <v>1</v>
      </c>
      <c r="E101" s="14">
        <v>1</v>
      </c>
      <c r="F101" s="14">
        <v>1</v>
      </c>
      <c r="G101" s="14">
        <v>1</v>
      </c>
      <c r="H101" s="28">
        <v>0</v>
      </c>
      <c r="I101" s="14">
        <v>0</v>
      </c>
      <c r="J101" s="24">
        <v>6</v>
      </c>
    </row>
    <row r="102" spans="1:10" x14ac:dyDescent="0.35">
      <c r="A102" s="12">
        <v>5</v>
      </c>
      <c r="B102" s="14">
        <v>9</v>
      </c>
      <c r="C102" s="14">
        <v>5</v>
      </c>
      <c r="D102" s="27">
        <v>1</v>
      </c>
      <c r="E102" s="14">
        <v>0</v>
      </c>
      <c r="F102" s="14">
        <v>1</v>
      </c>
      <c r="G102" s="14">
        <v>0</v>
      </c>
      <c r="H102" s="28">
        <v>0</v>
      </c>
      <c r="I102" s="14">
        <v>0</v>
      </c>
      <c r="J102" s="24">
        <v>4</v>
      </c>
    </row>
    <row r="103" spans="1:10" x14ac:dyDescent="0.35">
      <c r="A103" s="12">
        <v>6</v>
      </c>
      <c r="B103" s="14">
        <v>9</v>
      </c>
      <c r="C103" s="14">
        <v>6</v>
      </c>
      <c r="D103" s="27">
        <v>1</v>
      </c>
      <c r="E103" s="14">
        <v>0</v>
      </c>
      <c r="F103" s="14">
        <v>0</v>
      </c>
      <c r="G103" s="14">
        <v>0</v>
      </c>
      <c r="H103" s="28">
        <v>1</v>
      </c>
      <c r="I103" s="14">
        <v>0</v>
      </c>
      <c r="J103" s="24">
        <v>3</v>
      </c>
    </row>
    <row r="104" spans="1:10" x14ac:dyDescent="0.35">
      <c r="A104" s="12">
        <v>7</v>
      </c>
      <c r="B104" s="14">
        <v>9</v>
      </c>
      <c r="C104" s="14">
        <v>7</v>
      </c>
      <c r="D104" s="27">
        <v>0</v>
      </c>
      <c r="E104" s="14">
        <v>1</v>
      </c>
      <c r="F104" s="14">
        <v>1</v>
      </c>
      <c r="G104" s="14">
        <v>0</v>
      </c>
      <c r="H104" s="28">
        <v>1</v>
      </c>
      <c r="I104" s="14">
        <v>0</v>
      </c>
      <c r="J104" s="24">
        <v>4</v>
      </c>
    </row>
    <row r="105" spans="1:10" x14ac:dyDescent="0.35">
      <c r="A105" s="12">
        <v>8</v>
      </c>
      <c r="B105" s="14">
        <v>9</v>
      </c>
      <c r="C105" s="14">
        <v>8</v>
      </c>
      <c r="D105" s="27">
        <v>0</v>
      </c>
      <c r="E105" s="14">
        <v>0</v>
      </c>
      <c r="F105" s="14">
        <v>0</v>
      </c>
      <c r="G105" s="14">
        <v>0</v>
      </c>
      <c r="H105" s="28">
        <v>0</v>
      </c>
      <c r="I105" s="14">
        <v>0</v>
      </c>
      <c r="J105" s="24">
        <v>5</v>
      </c>
    </row>
    <row r="106" spans="1:10" x14ac:dyDescent="0.35">
      <c r="A106" s="12">
        <v>9</v>
      </c>
      <c r="B106" s="14">
        <v>9</v>
      </c>
      <c r="C106" s="14">
        <v>9</v>
      </c>
      <c r="D106" s="27">
        <v>1</v>
      </c>
      <c r="E106" s="14">
        <v>0</v>
      </c>
      <c r="F106" s="14">
        <v>0</v>
      </c>
      <c r="G106" s="14">
        <v>1</v>
      </c>
      <c r="H106" s="28">
        <v>0</v>
      </c>
      <c r="I106" s="14">
        <v>1</v>
      </c>
      <c r="J106" s="24">
        <v>2</v>
      </c>
    </row>
    <row r="107" spans="1:10" x14ac:dyDescent="0.35">
      <c r="A107" s="12">
        <v>10</v>
      </c>
      <c r="B107" s="14">
        <v>9</v>
      </c>
      <c r="C107" s="14">
        <v>10</v>
      </c>
      <c r="D107" s="27">
        <v>0</v>
      </c>
      <c r="E107" s="14">
        <v>0</v>
      </c>
      <c r="F107" s="14">
        <v>1</v>
      </c>
      <c r="G107" s="14">
        <v>1</v>
      </c>
      <c r="H107" s="28">
        <v>0</v>
      </c>
      <c r="I107" s="14">
        <v>1</v>
      </c>
      <c r="J107" s="24">
        <v>2</v>
      </c>
    </row>
    <row r="108" spans="1:10" x14ac:dyDescent="0.35">
      <c r="A108" s="12">
        <v>11</v>
      </c>
      <c r="B108" s="14">
        <v>9</v>
      </c>
      <c r="C108" s="14">
        <v>11</v>
      </c>
      <c r="D108" s="27">
        <v>0</v>
      </c>
      <c r="E108" s="14">
        <v>1</v>
      </c>
      <c r="F108" s="14">
        <v>0</v>
      </c>
      <c r="G108" s="14">
        <v>0</v>
      </c>
      <c r="H108" s="28">
        <v>0</v>
      </c>
      <c r="I108" s="14">
        <v>1</v>
      </c>
      <c r="J108" s="24">
        <v>2</v>
      </c>
    </row>
    <row r="109" spans="1:10" x14ac:dyDescent="0.35">
      <c r="A109" s="12">
        <v>12</v>
      </c>
      <c r="B109" s="14">
        <v>9</v>
      </c>
      <c r="C109" s="14">
        <v>12</v>
      </c>
      <c r="D109" s="27">
        <v>0</v>
      </c>
      <c r="E109" s="14">
        <v>1</v>
      </c>
      <c r="F109" s="14">
        <v>0</v>
      </c>
      <c r="G109" s="14">
        <v>1</v>
      </c>
      <c r="H109" s="28">
        <v>0</v>
      </c>
      <c r="I109" s="14">
        <v>0</v>
      </c>
      <c r="J109" s="24">
        <v>6</v>
      </c>
    </row>
    <row r="110" spans="1:10" x14ac:dyDescent="0.35">
      <c r="A110" s="12">
        <v>1</v>
      </c>
      <c r="B110" s="14">
        <v>10</v>
      </c>
      <c r="C110" s="14">
        <v>1</v>
      </c>
      <c r="D110" s="27">
        <v>1</v>
      </c>
      <c r="E110" s="14">
        <v>1</v>
      </c>
      <c r="F110" s="14">
        <v>0</v>
      </c>
      <c r="G110" s="14">
        <v>1</v>
      </c>
      <c r="H110" s="28">
        <v>1</v>
      </c>
      <c r="I110" s="14">
        <v>0</v>
      </c>
      <c r="J110" s="24">
        <v>5</v>
      </c>
    </row>
    <row r="111" spans="1:10" x14ac:dyDescent="0.35">
      <c r="A111" s="12">
        <v>2</v>
      </c>
      <c r="B111" s="14">
        <v>10</v>
      </c>
      <c r="C111" s="14">
        <v>2</v>
      </c>
      <c r="D111" s="27">
        <v>1</v>
      </c>
      <c r="E111" s="14">
        <v>1</v>
      </c>
      <c r="F111" s="14">
        <v>1</v>
      </c>
      <c r="G111" s="14">
        <v>0</v>
      </c>
      <c r="H111" s="28">
        <v>0</v>
      </c>
      <c r="I111" s="14">
        <v>1</v>
      </c>
      <c r="J111" s="24">
        <v>3</v>
      </c>
    </row>
    <row r="112" spans="1:10" x14ac:dyDescent="0.35">
      <c r="A112" s="12">
        <v>3</v>
      </c>
      <c r="B112" s="14">
        <v>10</v>
      </c>
      <c r="C112" s="14">
        <v>3</v>
      </c>
      <c r="D112" s="27">
        <v>0</v>
      </c>
      <c r="E112" s="14">
        <v>0</v>
      </c>
      <c r="F112" s="14">
        <v>1</v>
      </c>
      <c r="G112" s="14">
        <v>1</v>
      </c>
      <c r="H112" s="28">
        <v>1</v>
      </c>
      <c r="I112" s="14">
        <v>0</v>
      </c>
      <c r="J112" s="24">
        <v>2</v>
      </c>
    </row>
    <row r="113" spans="1:10" x14ac:dyDescent="0.35">
      <c r="A113" s="12">
        <v>4</v>
      </c>
      <c r="B113" s="14">
        <v>10</v>
      </c>
      <c r="C113" s="14">
        <v>4</v>
      </c>
      <c r="D113" s="27">
        <v>1</v>
      </c>
      <c r="E113" s="14">
        <v>1</v>
      </c>
      <c r="F113" s="14">
        <v>1</v>
      </c>
      <c r="G113" s="14">
        <v>1</v>
      </c>
      <c r="H113" s="28">
        <v>0</v>
      </c>
      <c r="I113" s="14">
        <v>0</v>
      </c>
      <c r="J113" s="24">
        <v>6</v>
      </c>
    </row>
    <row r="114" spans="1:10" x14ac:dyDescent="0.35">
      <c r="A114" s="12">
        <v>5</v>
      </c>
      <c r="B114" s="14">
        <v>10</v>
      </c>
      <c r="C114" s="14">
        <v>5</v>
      </c>
      <c r="D114" s="27">
        <v>1</v>
      </c>
      <c r="E114" s="14">
        <v>0</v>
      </c>
      <c r="F114" s="14">
        <v>1</v>
      </c>
      <c r="G114" s="14">
        <v>0</v>
      </c>
      <c r="H114" s="28">
        <v>0</v>
      </c>
      <c r="I114" s="14">
        <v>0</v>
      </c>
      <c r="J114" s="24">
        <v>5</v>
      </c>
    </row>
    <row r="115" spans="1:10" x14ac:dyDescent="0.35">
      <c r="A115" s="12">
        <v>6</v>
      </c>
      <c r="B115" s="14">
        <v>10</v>
      </c>
      <c r="C115" s="14">
        <v>6</v>
      </c>
      <c r="D115" s="27">
        <v>1</v>
      </c>
      <c r="E115" s="14">
        <v>0</v>
      </c>
      <c r="F115" s="14">
        <v>0</v>
      </c>
      <c r="G115" s="14">
        <v>0</v>
      </c>
      <c r="H115" s="28">
        <v>1</v>
      </c>
      <c r="I115" s="14">
        <v>0</v>
      </c>
      <c r="J115" s="24">
        <v>2</v>
      </c>
    </row>
    <row r="116" spans="1:10" x14ac:dyDescent="0.35">
      <c r="A116" s="12">
        <v>7</v>
      </c>
      <c r="B116" s="14">
        <v>10</v>
      </c>
      <c r="C116" s="14">
        <v>7</v>
      </c>
      <c r="D116" s="27">
        <v>0</v>
      </c>
      <c r="E116" s="14">
        <v>1</v>
      </c>
      <c r="F116" s="14">
        <v>1</v>
      </c>
      <c r="G116" s="14">
        <v>0</v>
      </c>
      <c r="H116" s="28">
        <v>1</v>
      </c>
      <c r="I116" s="14">
        <v>0</v>
      </c>
      <c r="J116" s="24">
        <v>3</v>
      </c>
    </row>
    <row r="117" spans="1:10" x14ac:dyDescent="0.35">
      <c r="A117" s="12">
        <v>8</v>
      </c>
      <c r="B117" s="14">
        <v>10</v>
      </c>
      <c r="C117" s="14">
        <v>8</v>
      </c>
      <c r="D117" s="27">
        <v>0</v>
      </c>
      <c r="E117" s="14">
        <v>0</v>
      </c>
      <c r="F117" s="14">
        <v>0</v>
      </c>
      <c r="G117" s="14">
        <v>0</v>
      </c>
      <c r="H117" s="28">
        <v>0</v>
      </c>
      <c r="I117" s="14">
        <v>0</v>
      </c>
      <c r="J117" s="24">
        <v>5</v>
      </c>
    </row>
    <row r="118" spans="1:10" x14ac:dyDescent="0.35">
      <c r="A118" s="12">
        <v>9</v>
      </c>
      <c r="B118" s="14">
        <v>10</v>
      </c>
      <c r="C118" s="14">
        <v>9</v>
      </c>
      <c r="D118" s="27">
        <v>1</v>
      </c>
      <c r="E118" s="14">
        <v>0</v>
      </c>
      <c r="F118" s="14">
        <v>0</v>
      </c>
      <c r="G118" s="14">
        <v>1</v>
      </c>
      <c r="H118" s="28">
        <v>0</v>
      </c>
      <c r="I118" s="14">
        <v>1</v>
      </c>
      <c r="J118" s="24">
        <v>1</v>
      </c>
    </row>
    <row r="119" spans="1:10" x14ac:dyDescent="0.35">
      <c r="A119" s="12">
        <v>10</v>
      </c>
      <c r="B119" s="14">
        <v>10</v>
      </c>
      <c r="C119" s="14">
        <v>10</v>
      </c>
      <c r="D119" s="27">
        <v>0</v>
      </c>
      <c r="E119" s="14">
        <v>0</v>
      </c>
      <c r="F119" s="14">
        <v>1</v>
      </c>
      <c r="G119" s="14">
        <v>1</v>
      </c>
      <c r="H119" s="28">
        <v>0</v>
      </c>
      <c r="I119" s="14">
        <v>1</v>
      </c>
      <c r="J119" s="24">
        <v>3</v>
      </c>
    </row>
    <row r="120" spans="1:10" x14ac:dyDescent="0.35">
      <c r="A120" s="12">
        <v>11</v>
      </c>
      <c r="B120" s="14">
        <v>10</v>
      </c>
      <c r="C120" s="14">
        <v>11</v>
      </c>
      <c r="D120" s="27">
        <v>0</v>
      </c>
      <c r="E120" s="14">
        <v>1</v>
      </c>
      <c r="F120" s="14">
        <v>0</v>
      </c>
      <c r="G120" s="14">
        <v>0</v>
      </c>
      <c r="H120" s="28">
        <v>0</v>
      </c>
      <c r="I120" s="14">
        <v>1</v>
      </c>
      <c r="J120" s="24">
        <v>1</v>
      </c>
    </row>
    <row r="121" spans="1:10" x14ac:dyDescent="0.35">
      <c r="A121" s="12">
        <v>12</v>
      </c>
      <c r="B121" s="14">
        <v>10</v>
      </c>
      <c r="C121" s="14">
        <v>12</v>
      </c>
      <c r="D121" s="27">
        <v>0</v>
      </c>
      <c r="E121" s="14">
        <v>1</v>
      </c>
      <c r="F121" s="14">
        <v>0</v>
      </c>
      <c r="G121" s="14">
        <v>1</v>
      </c>
      <c r="H121" s="28">
        <v>0</v>
      </c>
      <c r="I121" s="14">
        <v>0</v>
      </c>
      <c r="J121" s="24">
        <v>6</v>
      </c>
    </row>
    <row r="122" spans="1:10" x14ac:dyDescent="0.35">
      <c r="A122" s="12">
        <v>1</v>
      </c>
      <c r="B122" s="14">
        <v>11</v>
      </c>
      <c r="C122" s="14">
        <v>1</v>
      </c>
      <c r="D122" s="27">
        <v>1</v>
      </c>
      <c r="E122" s="14">
        <v>1</v>
      </c>
      <c r="F122" s="14">
        <v>0</v>
      </c>
      <c r="G122" s="14">
        <v>1</v>
      </c>
      <c r="H122" s="28">
        <v>1</v>
      </c>
      <c r="I122" s="14">
        <v>0</v>
      </c>
      <c r="J122" s="24">
        <v>4</v>
      </c>
    </row>
    <row r="123" spans="1:10" x14ac:dyDescent="0.35">
      <c r="A123" s="12">
        <v>2</v>
      </c>
      <c r="B123" s="14">
        <v>11</v>
      </c>
      <c r="C123" s="14">
        <v>2</v>
      </c>
      <c r="D123" s="27">
        <v>1</v>
      </c>
      <c r="E123" s="14">
        <v>1</v>
      </c>
      <c r="F123" s="14">
        <v>1</v>
      </c>
      <c r="G123" s="14">
        <v>0</v>
      </c>
      <c r="H123" s="28">
        <v>0</v>
      </c>
      <c r="I123" s="14">
        <v>1</v>
      </c>
      <c r="J123" s="24">
        <v>2</v>
      </c>
    </row>
    <row r="124" spans="1:10" x14ac:dyDescent="0.35">
      <c r="A124" s="12">
        <v>3</v>
      </c>
      <c r="B124" s="14">
        <v>11</v>
      </c>
      <c r="C124" s="14">
        <v>3</v>
      </c>
      <c r="D124" s="27">
        <v>0</v>
      </c>
      <c r="E124" s="14">
        <v>0</v>
      </c>
      <c r="F124" s="14">
        <v>1</v>
      </c>
      <c r="G124" s="14">
        <v>1</v>
      </c>
      <c r="H124" s="28">
        <v>1</v>
      </c>
      <c r="I124" s="14">
        <v>0</v>
      </c>
      <c r="J124" s="24">
        <v>3</v>
      </c>
    </row>
    <row r="125" spans="1:10" x14ac:dyDescent="0.35">
      <c r="A125" s="12">
        <v>4</v>
      </c>
      <c r="B125" s="14">
        <v>11</v>
      </c>
      <c r="C125" s="14">
        <v>4</v>
      </c>
      <c r="D125" s="27">
        <v>1</v>
      </c>
      <c r="E125" s="14">
        <v>1</v>
      </c>
      <c r="F125" s="14">
        <v>1</v>
      </c>
      <c r="G125" s="14">
        <v>1</v>
      </c>
      <c r="H125" s="28">
        <v>0</v>
      </c>
      <c r="I125" s="14">
        <v>0</v>
      </c>
      <c r="J125" s="24">
        <v>6</v>
      </c>
    </row>
    <row r="126" spans="1:10" x14ac:dyDescent="0.35">
      <c r="A126" s="12">
        <v>5</v>
      </c>
      <c r="B126" s="14">
        <v>11</v>
      </c>
      <c r="C126" s="14">
        <v>5</v>
      </c>
      <c r="D126" s="27">
        <v>1</v>
      </c>
      <c r="E126" s="14">
        <v>0</v>
      </c>
      <c r="F126" s="14">
        <v>1</v>
      </c>
      <c r="G126" s="14">
        <v>0</v>
      </c>
      <c r="H126" s="28">
        <v>0</v>
      </c>
      <c r="I126" s="14">
        <v>0</v>
      </c>
      <c r="J126" s="24">
        <v>4</v>
      </c>
    </row>
    <row r="127" spans="1:10" x14ac:dyDescent="0.35">
      <c r="A127" s="12">
        <v>6</v>
      </c>
      <c r="B127" s="14">
        <v>11</v>
      </c>
      <c r="C127" s="14">
        <v>6</v>
      </c>
      <c r="D127" s="27">
        <v>1</v>
      </c>
      <c r="E127" s="14">
        <v>0</v>
      </c>
      <c r="F127" s="14">
        <v>0</v>
      </c>
      <c r="G127" s="14">
        <v>0</v>
      </c>
      <c r="H127" s="28">
        <v>1</v>
      </c>
      <c r="I127" s="14">
        <v>0</v>
      </c>
      <c r="J127" s="24">
        <v>2</v>
      </c>
    </row>
    <row r="128" spans="1:10" x14ac:dyDescent="0.35">
      <c r="A128" s="12">
        <v>7</v>
      </c>
      <c r="B128" s="14">
        <v>11</v>
      </c>
      <c r="C128" s="14">
        <v>7</v>
      </c>
      <c r="D128" s="27">
        <v>0</v>
      </c>
      <c r="E128" s="14">
        <v>1</v>
      </c>
      <c r="F128" s="14">
        <v>1</v>
      </c>
      <c r="G128" s="14">
        <v>0</v>
      </c>
      <c r="H128" s="28">
        <v>1</v>
      </c>
      <c r="I128" s="14">
        <v>0</v>
      </c>
      <c r="J128" s="24">
        <v>4</v>
      </c>
    </row>
    <row r="129" spans="1:10" x14ac:dyDescent="0.35">
      <c r="A129" s="12">
        <v>8</v>
      </c>
      <c r="B129" s="14">
        <v>11</v>
      </c>
      <c r="C129" s="14">
        <v>8</v>
      </c>
      <c r="D129" s="27">
        <v>0</v>
      </c>
      <c r="E129" s="14">
        <v>0</v>
      </c>
      <c r="F129" s="14">
        <v>0</v>
      </c>
      <c r="G129" s="14">
        <v>0</v>
      </c>
      <c r="H129" s="28">
        <v>0</v>
      </c>
      <c r="I129" s="14">
        <v>0</v>
      </c>
      <c r="J129" s="24">
        <v>5</v>
      </c>
    </row>
    <row r="130" spans="1:10" x14ac:dyDescent="0.35">
      <c r="A130" s="12">
        <v>9</v>
      </c>
      <c r="B130" s="14">
        <v>11</v>
      </c>
      <c r="C130" s="14">
        <v>9</v>
      </c>
      <c r="D130" s="27">
        <v>1</v>
      </c>
      <c r="E130" s="14">
        <v>0</v>
      </c>
      <c r="F130" s="14">
        <v>0</v>
      </c>
      <c r="G130" s="14">
        <v>1</v>
      </c>
      <c r="H130" s="28">
        <v>0</v>
      </c>
      <c r="I130" s="14">
        <v>1</v>
      </c>
      <c r="J130" s="24">
        <v>2</v>
      </c>
    </row>
    <row r="131" spans="1:10" x14ac:dyDescent="0.35">
      <c r="A131" s="12">
        <v>10</v>
      </c>
      <c r="B131" s="14">
        <v>11</v>
      </c>
      <c r="C131" s="14">
        <v>10</v>
      </c>
      <c r="D131" s="27">
        <v>0</v>
      </c>
      <c r="E131" s="14">
        <v>0</v>
      </c>
      <c r="F131" s="14">
        <v>1</v>
      </c>
      <c r="G131" s="14">
        <v>1</v>
      </c>
      <c r="H131" s="28">
        <v>0</v>
      </c>
      <c r="I131" s="14">
        <v>1</v>
      </c>
      <c r="J131" s="24">
        <v>3</v>
      </c>
    </row>
    <row r="132" spans="1:10" x14ac:dyDescent="0.35">
      <c r="A132" s="12">
        <v>11</v>
      </c>
      <c r="B132" s="14">
        <v>11</v>
      </c>
      <c r="C132" s="14">
        <v>11</v>
      </c>
      <c r="D132" s="27">
        <v>0</v>
      </c>
      <c r="E132" s="14">
        <v>1</v>
      </c>
      <c r="F132" s="14">
        <v>0</v>
      </c>
      <c r="G132" s="14">
        <v>0</v>
      </c>
      <c r="H132" s="28">
        <v>0</v>
      </c>
      <c r="I132" s="14">
        <v>1</v>
      </c>
      <c r="J132" s="24">
        <v>1</v>
      </c>
    </row>
    <row r="133" spans="1:10" x14ac:dyDescent="0.35">
      <c r="A133" s="12">
        <v>12</v>
      </c>
      <c r="B133" s="14">
        <v>11</v>
      </c>
      <c r="C133" s="14">
        <v>12</v>
      </c>
      <c r="D133" s="27">
        <v>0</v>
      </c>
      <c r="E133" s="14">
        <v>1</v>
      </c>
      <c r="F133" s="14">
        <v>0</v>
      </c>
      <c r="G133" s="14">
        <v>1</v>
      </c>
      <c r="H133" s="28">
        <v>0</v>
      </c>
      <c r="I133" s="14">
        <v>0</v>
      </c>
      <c r="J133" s="24">
        <v>5</v>
      </c>
    </row>
    <row r="134" spans="1:10" x14ac:dyDescent="0.35">
      <c r="A134" s="12">
        <v>1</v>
      </c>
      <c r="B134" s="14">
        <v>12</v>
      </c>
      <c r="C134" s="14">
        <v>1</v>
      </c>
      <c r="D134" s="27">
        <v>1</v>
      </c>
      <c r="E134" s="14">
        <v>1</v>
      </c>
      <c r="F134" s="14">
        <v>0</v>
      </c>
      <c r="G134" s="14">
        <v>1</v>
      </c>
      <c r="H134" s="28">
        <v>1</v>
      </c>
      <c r="I134" s="14">
        <v>0</v>
      </c>
      <c r="J134" s="24">
        <v>5</v>
      </c>
    </row>
    <row r="135" spans="1:10" x14ac:dyDescent="0.35">
      <c r="A135" s="12">
        <v>2</v>
      </c>
      <c r="B135" s="14">
        <v>12</v>
      </c>
      <c r="C135" s="14">
        <v>2</v>
      </c>
      <c r="D135" s="27">
        <v>1</v>
      </c>
      <c r="E135" s="14">
        <v>1</v>
      </c>
      <c r="F135" s="14">
        <v>1</v>
      </c>
      <c r="G135" s="14">
        <v>0</v>
      </c>
      <c r="H135" s="28">
        <v>0</v>
      </c>
      <c r="I135" s="14">
        <v>1</v>
      </c>
      <c r="J135" s="24">
        <v>3</v>
      </c>
    </row>
    <row r="136" spans="1:10" x14ac:dyDescent="0.35">
      <c r="A136" s="12">
        <v>3</v>
      </c>
      <c r="B136" s="14">
        <v>12</v>
      </c>
      <c r="C136" s="14">
        <v>3</v>
      </c>
      <c r="D136" s="27">
        <v>0</v>
      </c>
      <c r="E136" s="14">
        <v>0</v>
      </c>
      <c r="F136" s="14">
        <v>1</v>
      </c>
      <c r="G136" s="14">
        <v>1</v>
      </c>
      <c r="H136" s="28">
        <v>1</v>
      </c>
      <c r="I136" s="14">
        <v>0</v>
      </c>
      <c r="J136" s="24">
        <v>2</v>
      </c>
    </row>
    <row r="137" spans="1:10" x14ac:dyDescent="0.35">
      <c r="A137" s="12">
        <v>4</v>
      </c>
      <c r="B137" s="14">
        <v>12</v>
      </c>
      <c r="C137" s="14">
        <v>4</v>
      </c>
      <c r="D137" s="27">
        <v>1</v>
      </c>
      <c r="E137" s="14">
        <v>1</v>
      </c>
      <c r="F137" s="14">
        <v>1</v>
      </c>
      <c r="G137" s="14">
        <v>1</v>
      </c>
      <c r="H137" s="28">
        <v>0</v>
      </c>
      <c r="I137" s="14">
        <v>0</v>
      </c>
      <c r="J137" s="24">
        <v>6</v>
      </c>
    </row>
    <row r="138" spans="1:10" x14ac:dyDescent="0.35">
      <c r="A138" s="12">
        <v>5</v>
      </c>
      <c r="B138" s="14">
        <v>12</v>
      </c>
      <c r="C138" s="14">
        <v>5</v>
      </c>
      <c r="D138" s="27">
        <v>1</v>
      </c>
      <c r="E138" s="14">
        <v>0</v>
      </c>
      <c r="F138" s="14">
        <v>1</v>
      </c>
      <c r="G138" s="14">
        <v>0</v>
      </c>
      <c r="H138" s="28">
        <v>0</v>
      </c>
      <c r="I138" s="14">
        <v>0</v>
      </c>
      <c r="J138" s="24">
        <v>4</v>
      </c>
    </row>
    <row r="139" spans="1:10" x14ac:dyDescent="0.35">
      <c r="A139" s="12">
        <v>6</v>
      </c>
      <c r="B139" s="14">
        <v>12</v>
      </c>
      <c r="C139" s="14">
        <v>6</v>
      </c>
      <c r="D139" s="27">
        <v>1</v>
      </c>
      <c r="E139" s="14">
        <v>0</v>
      </c>
      <c r="F139" s="14">
        <v>0</v>
      </c>
      <c r="G139" s="14">
        <v>0</v>
      </c>
      <c r="H139" s="28">
        <v>1</v>
      </c>
      <c r="I139" s="14">
        <v>0</v>
      </c>
      <c r="J139" s="24">
        <v>3</v>
      </c>
    </row>
    <row r="140" spans="1:10" x14ac:dyDescent="0.35">
      <c r="A140" s="12">
        <v>7</v>
      </c>
      <c r="B140" s="14">
        <v>12</v>
      </c>
      <c r="C140" s="14">
        <v>7</v>
      </c>
      <c r="D140" s="27">
        <v>0</v>
      </c>
      <c r="E140" s="14">
        <v>1</v>
      </c>
      <c r="F140" s="14">
        <v>1</v>
      </c>
      <c r="G140" s="14">
        <v>0</v>
      </c>
      <c r="H140" s="28">
        <v>1</v>
      </c>
      <c r="I140" s="14">
        <v>0</v>
      </c>
      <c r="J140" s="24">
        <v>4</v>
      </c>
    </row>
    <row r="141" spans="1:10" x14ac:dyDescent="0.35">
      <c r="A141" s="12">
        <v>8</v>
      </c>
      <c r="B141" s="14">
        <v>12</v>
      </c>
      <c r="C141" s="14">
        <v>8</v>
      </c>
      <c r="D141" s="27">
        <v>0</v>
      </c>
      <c r="E141" s="14">
        <v>0</v>
      </c>
      <c r="F141" s="14">
        <v>0</v>
      </c>
      <c r="G141" s="14">
        <v>0</v>
      </c>
      <c r="H141" s="28">
        <v>0</v>
      </c>
      <c r="I141" s="14">
        <v>0</v>
      </c>
      <c r="J141" s="24">
        <v>4</v>
      </c>
    </row>
    <row r="142" spans="1:10" x14ac:dyDescent="0.35">
      <c r="A142" s="12">
        <v>9</v>
      </c>
      <c r="B142" s="14">
        <v>12</v>
      </c>
      <c r="C142" s="14">
        <v>9</v>
      </c>
      <c r="D142" s="27">
        <v>1</v>
      </c>
      <c r="E142" s="14">
        <v>0</v>
      </c>
      <c r="F142" s="14">
        <v>0</v>
      </c>
      <c r="G142" s="14">
        <v>1</v>
      </c>
      <c r="H142" s="28">
        <v>0</v>
      </c>
      <c r="I142" s="14">
        <v>1</v>
      </c>
      <c r="J142" s="24">
        <v>1</v>
      </c>
    </row>
    <row r="143" spans="1:10" x14ac:dyDescent="0.35">
      <c r="A143" s="12">
        <v>10</v>
      </c>
      <c r="B143" s="14">
        <v>12</v>
      </c>
      <c r="C143" s="14">
        <v>10</v>
      </c>
      <c r="D143" s="27">
        <v>0</v>
      </c>
      <c r="E143" s="14">
        <v>0</v>
      </c>
      <c r="F143" s="14">
        <v>1</v>
      </c>
      <c r="G143" s="14">
        <v>1</v>
      </c>
      <c r="H143" s="28">
        <v>0</v>
      </c>
      <c r="I143" s="14">
        <v>1</v>
      </c>
      <c r="J143" s="24">
        <v>3</v>
      </c>
    </row>
    <row r="144" spans="1:10" x14ac:dyDescent="0.35">
      <c r="A144" s="12">
        <v>11</v>
      </c>
      <c r="B144" s="14">
        <v>12</v>
      </c>
      <c r="C144" s="14">
        <v>11</v>
      </c>
      <c r="D144" s="27">
        <v>0</v>
      </c>
      <c r="E144" s="14">
        <v>1</v>
      </c>
      <c r="F144" s="14">
        <v>0</v>
      </c>
      <c r="G144" s="14">
        <v>0</v>
      </c>
      <c r="H144" s="28">
        <v>0</v>
      </c>
      <c r="I144" s="14">
        <v>1</v>
      </c>
      <c r="J144" s="24">
        <v>1</v>
      </c>
    </row>
    <row r="145" spans="1:10" x14ac:dyDescent="0.35">
      <c r="A145" s="12">
        <v>12</v>
      </c>
      <c r="B145" s="14">
        <v>12</v>
      </c>
      <c r="C145" s="14">
        <v>12</v>
      </c>
      <c r="D145" s="27">
        <v>0</v>
      </c>
      <c r="E145" s="14">
        <v>1</v>
      </c>
      <c r="F145" s="14">
        <v>0</v>
      </c>
      <c r="G145" s="14">
        <v>1</v>
      </c>
      <c r="H145" s="28">
        <v>0</v>
      </c>
      <c r="I145" s="14">
        <v>0</v>
      </c>
      <c r="J145" s="24">
        <v>6</v>
      </c>
    </row>
    <row r="146" spans="1:10" x14ac:dyDescent="0.35">
      <c r="A146" s="12">
        <v>1</v>
      </c>
      <c r="B146" s="14">
        <v>13</v>
      </c>
      <c r="C146" s="14">
        <v>1</v>
      </c>
      <c r="D146" s="27">
        <v>1</v>
      </c>
      <c r="E146" s="14">
        <v>1</v>
      </c>
      <c r="F146" s="14">
        <v>0</v>
      </c>
      <c r="G146" s="14">
        <v>1</v>
      </c>
      <c r="H146" s="28">
        <v>1</v>
      </c>
      <c r="I146" s="14">
        <v>0</v>
      </c>
      <c r="J146" s="24">
        <v>4</v>
      </c>
    </row>
    <row r="147" spans="1:10" x14ac:dyDescent="0.35">
      <c r="A147" s="12">
        <v>2</v>
      </c>
      <c r="B147" s="14">
        <v>13</v>
      </c>
      <c r="C147" s="14">
        <v>2</v>
      </c>
      <c r="D147" s="27">
        <v>1</v>
      </c>
      <c r="E147" s="14">
        <v>1</v>
      </c>
      <c r="F147" s="14">
        <v>1</v>
      </c>
      <c r="G147" s="14">
        <v>0</v>
      </c>
      <c r="H147" s="28">
        <v>0</v>
      </c>
      <c r="I147" s="14">
        <v>1</v>
      </c>
      <c r="J147" s="24">
        <v>2</v>
      </c>
    </row>
    <row r="148" spans="1:10" x14ac:dyDescent="0.35">
      <c r="A148" s="12">
        <v>3</v>
      </c>
      <c r="B148" s="14">
        <v>13</v>
      </c>
      <c r="C148" s="14">
        <v>3</v>
      </c>
      <c r="D148" s="27">
        <v>0</v>
      </c>
      <c r="E148" s="14">
        <v>0</v>
      </c>
      <c r="F148" s="14">
        <v>1</v>
      </c>
      <c r="G148" s="14">
        <v>1</v>
      </c>
      <c r="H148" s="28">
        <v>1</v>
      </c>
      <c r="I148" s="14">
        <v>0</v>
      </c>
      <c r="J148" s="24">
        <v>3</v>
      </c>
    </row>
    <row r="149" spans="1:10" x14ac:dyDescent="0.35">
      <c r="A149" s="12">
        <v>4</v>
      </c>
      <c r="B149" s="14">
        <v>13</v>
      </c>
      <c r="C149" s="14">
        <v>4</v>
      </c>
      <c r="D149" s="27">
        <v>1</v>
      </c>
      <c r="E149" s="14">
        <v>1</v>
      </c>
      <c r="F149" s="14">
        <v>1</v>
      </c>
      <c r="G149" s="14">
        <v>1</v>
      </c>
      <c r="H149" s="28">
        <v>0</v>
      </c>
      <c r="I149" s="14">
        <v>0</v>
      </c>
      <c r="J149" s="24">
        <v>5</v>
      </c>
    </row>
    <row r="150" spans="1:10" x14ac:dyDescent="0.35">
      <c r="A150" s="12">
        <v>5</v>
      </c>
      <c r="B150" s="14">
        <v>13</v>
      </c>
      <c r="C150" s="14">
        <v>5</v>
      </c>
      <c r="D150" s="27">
        <v>1</v>
      </c>
      <c r="E150" s="14">
        <v>0</v>
      </c>
      <c r="F150" s="14">
        <v>1</v>
      </c>
      <c r="G150" s="14">
        <v>0</v>
      </c>
      <c r="H150" s="28">
        <v>0</v>
      </c>
      <c r="I150" s="14">
        <v>0</v>
      </c>
      <c r="J150" s="24">
        <v>4</v>
      </c>
    </row>
    <row r="151" spans="1:10" x14ac:dyDescent="0.35">
      <c r="A151" s="12">
        <v>6</v>
      </c>
      <c r="B151" s="14">
        <v>13</v>
      </c>
      <c r="C151" s="14">
        <v>6</v>
      </c>
      <c r="D151" s="27">
        <v>1</v>
      </c>
      <c r="E151" s="14">
        <v>0</v>
      </c>
      <c r="F151" s="14">
        <v>0</v>
      </c>
      <c r="G151" s="14">
        <v>0</v>
      </c>
      <c r="H151" s="28">
        <v>1</v>
      </c>
      <c r="I151" s="14">
        <v>0</v>
      </c>
      <c r="J151" s="24">
        <v>3</v>
      </c>
    </row>
    <row r="152" spans="1:10" x14ac:dyDescent="0.35">
      <c r="A152" s="12">
        <v>7</v>
      </c>
      <c r="B152" s="14">
        <v>13</v>
      </c>
      <c r="C152" s="14">
        <v>7</v>
      </c>
      <c r="D152" s="27">
        <v>0</v>
      </c>
      <c r="E152" s="14">
        <v>1</v>
      </c>
      <c r="F152" s="14">
        <v>1</v>
      </c>
      <c r="G152" s="14">
        <v>0</v>
      </c>
      <c r="H152" s="28">
        <v>1</v>
      </c>
      <c r="I152" s="14">
        <v>0</v>
      </c>
      <c r="J152" s="24">
        <v>3</v>
      </c>
    </row>
    <row r="153" spans="1:10" x14ac:dyDescent="0.35">
      <c r="A153" s="12">
        <v>8</v>
      </c>
      <c r="B153" s="14">
        <v>13</v>
      </c>
      <c r="C153" s="14">
        <v>8</v>
      </c>
      <c r="D153" s="27">
        <v>0</v>
      </c>
      <c r="E153" s="14">
        <v>0</v>
      </c>
      <c r="F153" s="14">
        <v>0</v>
      </c>
      <c r="G153" s="14">
        <v>0</v>
      </c>
      <c r="H153" s="28">
        <v>0</v>
      </c>
      <c r="I153" s="14">
        <v>0</v>
      </c>
      <c r="J153" s="24">
        <v>4</v>
      </c>
    </row>
    <row r="154" spans="1:10" x14ac:dyDescent="0.35">
      <c r="A154" s="12">
        <v>9</v>
      </c>
      <c r="B154" s="14">
        <v>13</v>
      </c>
      <c r="C154" s="14">
        <v>9</v>
      </c>
      <c r="D154" s="27">
        <v>1</v>
      </c>
      <c r="E154" s="14">
        <v>0</v>
      </c>
      <c r="F154" s="14">
        <v>0</v>
      </c>
      <c r="G154" s="14">
        <v>1</v>
      </c>
      <c r="H154" s="28">
        <v>0</v>
      </c>
      <c r="I154" s="14">
        <v>1</v>
      </c>
      <c r="J154" s="24">
        <v>1</v>
      </c>
    </row>
    <row r="155" spans="1:10" x14ac:dyDescent="0.35">
      <c r="A155" s="12">
        <v>10</v>
      </c>
      <c r="B155" s="14">
        <v>13</v>
      </c>
      <c r="C155" s="14">
        <v>10</v>
      </c>
      <c r="D155" s="27">
        <v>0</v>
      </c>
      <c r="E155" s="14">
        <v>0</v>
      </c>
      <c r="F155" s="14">
        <v>1</v>
      </c>
      <c r="G155" s="14">
        <v>1</v>
      </c>
      <c r="H155" s="28">
        <v>0</v>
      </c>
      <c r="I155" s="14">
        <v>1</v>
      </c>
      <c r="J155" s="24">
        <v>2</v>
      </c>
    </row>
    <row r="156" spans="1:10" x14ac:dyDescent="0.35">
      <c r="A156" s="12">
        <v>11</v>
      </c>
      <c r="B156" s="14">
        <v>13</v>
      </c>
      <c r="C156" s="14">
        <v>11</v>
      </c>
      <c r="D156" s="27">
        <v>0</v>
      </c>
      <c r="E156" s="14">
        <v>1</v>
      </c>
      <c r="F156" s="14">
        <v>0</v>
      </c>
      <c r="G156" s="14">
        <v>0</v>
      </c>
      <c r="H156" s="28">
        <v>0</v>
      </c>
      <c r="I156" s="14">
        <v>1</v>
      </c>
      <c r="J156" s="24">
        <v>2</v>
      </c>
    </row>
    <row r="157" spans="1:10" x14ac:dyDescent="0.35">
      <c r="A157" s="12">
        <v>12</v>
      </c>
      <c r="B157" s="14">
        <v>13</v>
      </c>
      <c r="C157" s="14">
        <v>12</v>
      </c>
      <c r="D157" s="27">
        <v>0</v>
      </c>
      <c r="E157" s="14">
        <v>1</v>
      </c>
      <c r="F157" s="14">
        <v>0</v>
      </c>
      <c r="G157" s="14">
        <v>1</v>
      </c>
      <c r="H157" s="28">
        <v>0</v>
      </c>
      <c r="I157" s="14">
        <v>0</v>
      </c>
      <c r="J157" s="24">
        <v>6</v>
      </c>
    </row>
    <row r="158" spans="1:10" x14ac:dyDescent="0.35">
      <c r="A158" s="12">
        <v>1</v>
      </c>
      <c r="B158" s="14">
        <v>14</v>
      </c>
      <c r="C158" s="14">
        <v>1</v>
      </c>
      <c r="D158" s="27">
        <v>1</v>
      </c>
      <c r="E158" s="14">
        <v>1</v>
      </c>
      <c r="F158" s="14">
        <v>0</v>
      </c>
      <c r="G158" s="14">
        <v>1</v>
      </c>
      <c r="H158" s="28">
        <v>1</v>
      </c>
      <c r="I158" s="14">
        <v>0</v>
      </c>
      <c r="J158" s="24">
        <v>5</v>
      </c>
    </row>
    <row r="159" spans="1:10" x14ac:dyDescent="0.35">
      <c r="A159" s="12">
        <v>2</v>
      </c>
      <c r="B159" s="14">
        <v>14</v>
      </c>
      <c r="C159" s="14">
        <v>2</v>
      </c>
      <c r="D159" s="27">
        <v>1</v>
      </c>
      <c r="E159" s="14">
        <v>1</v>
      </c>
      <c r="F159" s="14">
        <v>1</v>
      </c>
      <c r="G159" s="14">
        <v>0</v>
      </c>
      <c r="H159" s="28">
        <v>0</v>
      </c>
      <c r="I159" s="14">
        <v>1</v>
      </c>
      <c r="J159" s="24">
        <v>2</v>
      </c>
    </row>
    <row r="160" spans="1:10" x14ac:dyDescent="0.35">
      <c r="A160" s="12">
        <v>3</v>
      </c>
      <c r="B160" s="14">
        <v>14</v>
      </c>
      <c r="C160" s="14">
        <v>3</v>
      </c>
      <c r="D160" s="27">
        <v>0</v>
      </c>
      <c r="E160" s="14">
        <v>0</v>
      </c>
      <c r="F160" s="14">
        <v>1</v>
      </c>
      <c r="G160" s="14">
        <v>1</v>
      </c>
      <c r="H160" s="28">
        <v>1</v>
      </c>
      <c r="I160" s="14">
        <v>0</v>
      </c>
      <c r="J160" s="24">
        <v>3</v>
      </c>
    </row>
    <row r="161" spans="1:10" x14ac:dyDescent="0.35">
      <c r="A161" s="12">
        <v>4</v>
      </c>
      <c r="B161" s="14">
        <v>14</v>
      </c>
      <c r="C161" s="14">
        <v>4</v>
      </c>
      <c r="D161" s="27">
        <v>1</v>
      </c>
      <c r="E161" s="14">
        <v>1</v>
      </c>
      <c r="F161" s="14">
        <v>1</v>
      </c>
      <c r="G161" s="14">
        <v>1</v>
      </c>
      <c r="H161" s="28">
        <v>0</v>
      </c>
      <c r="I161" s="14">
        <v>0</v>
      </c>
      <c r="J161" s="24">
        <v>6</v>
      </c>
    </row>
    <row r="162" spans="1:10" x14ac:dyDescent="0.35">
      <c r="A162" s="12">
        <v>5</v>
      </c>
      <c r="B162" s="14">
        <v>14</v>
      </c>
      <c r="C162" s="14">
        <v>5</v>
      </c>
      <c r="D162" s="27">
        <v>1</v>
      </c>
      <c r="E162" s="14">
        <v>0</v>
      </c>
      <c r="F162" s="14">
        <v>1</v>
      </c>
      <c r="G162" s="14">
        <v>0</v>
      </c>
      <c r="H162" s="28">
        <v>0</v>
      </c>
      <c r="I162" s="14">
        <v>0</v>
      </c>
      <c r="J162" s="24">
        <v>4</v>
      </c>
    </row>
    <row r="163" spans="1:10" x14ac:dyDescent="0.35">
      <c r="A163" s="12">
        <v>6</v>
      </c>
      <c r="B163" s="14">
        <v>14</v>
      </c>
      <c r="C163" s="14">
        <v>6</v>
      </c>
      <c r="D163" s="27">
        <v>1</v>
      </c>
      <c r="E163" s="14">
        <v>0</v>
      </c>
      <c r="F163" s="14">
        <v>0</v>
      </c>
      <c r="G163" s="14">
        <v>0</v>
      </c>
      <c r="H163" s="28">
        <v>1</v>
      </c>
      <c r="I163" s="14">
        <v>0</v>
      </c>
      <c r="J163" s="24">
        <v>3</v>
      </c>
    </row>
    <row r="164" spans="1:10" x14ac:dyDescent="0.35">
      <c r="A164" s="12">
        <v>7</v>
      </c>
      <c r="B164" s="14">
        <v>14</v>
      </c>
      <c r="C164" s="14">
        <v>7</v>
      </c>
      <c r="D164" s="27">
        <v>0</v>
      </c>
      <c r="E164" s="14">
        <v>1</v>
      </c>
      <c r="F164" s="14">
        <v>1</v>
      </c>
      <c r="G164" s="14">
        <v>0</v>
      </c>
      <c r="H164" s="28">
        <v>1</v>
      </c>
      <c r="I164" s="14">
        <v>0</v>
      </c>
      <c r="J164" s="24">
        <v>4</v>
      </c>
    </row>
    <row r="165" spans="1:10" x14ac:dyDescent="0.35">
      <c r="A165" s="12">
        <v>8</v>
      </c>
      <c r="B165" s="14">
        <v>14</v>
      </c>
      <c r="C165" s="14">
        <v>8</v>
      </c>
      <c r="D165" s="27">
        <v>0</v>
      </c>
      <c r="E165" s="14">
        <v>0</v>
      </c>
      <c r="F165" s="14">
        <v>0</v>
      </c>
      <c r="G165" s="14">
        <v>0</v>
      </c>
      <c r="H165" s="28">
        <v>0</v>
      </c>
      <c r="I165" s="14">
        <v>0</v>
      </c>
      <c r="J165" s="24">
        <v>5</v>
      </c>
    </row>
    <row r="166" spans="1:10" x14ac:dyDescent="0.35">
      <c r="A166" s="12">
        <v>9</v>
      </c>
      <c r="B166" s="14">
        <v>14</v>
      </c>
      <c r="C166" s="14">
        <v>9</v>
      </c>
      <c r="D166" s="27">
        <v>1</v>
      </c>
      <c r="E166" s="14">
        <v>0</v>
      </c>
      <c r="F166" s="14">
        <v>0</v>
      </c>
      <c r="G166" s="14">
        <v>1</v>
      </c>
      <c r="H166" s="28">
        <v>0</v>
      </c>
      <c r="I166" s="14">
        <v>1</v>
      </c>
      <c r="J166" s="24">
        <v>2</v>
      </c>
    </row>
    <row r="167" spans="1:10" x14ac:dyDescent="0.35">
      <c r="A167" s="12">
        <v>10</v>
      </c>
      <c r="B167" s="14">
        <v>14</v>
      </c>
      <c r="C167" s="14">
        <v>10</v>
      </c>
      <c r="D167" s="27">
        <v>0</v>
      </c>
      <c r="E167" s="14">
        <v>0</v>
      </c>
      <c r="F167" s="14">
        <v>1</v>
      </c>
      <c r="G167" s="14">
        <v>1</v>
      </c>
      <c r="H167" s="28">
        <v>0</v>
      </c>
      <c r="I167" s="14">
        <v>1</v>
      </c>
      <c r="J167" s="24">
        <v>3</v>
      </c>
    </row>
    <row r="168" spans="1:10" x14ac:dyDescent="0.35">
      <c r="A168" s="12">
        <v>11</v>
      </c>
      <c r="B168" s="14">
        <v>14</v>
      </c>
      <c r="C168" s="14">
        <v>11</v>
      </c>
      <c r="D168" s="27">
        <v>0</v>
      </c>
      <c r="E168" s="14">
        <v>1</v>
      </c>
      <c r="F168" s="14">
        <v>0</v>
      </c>
      <c r="G168" s="14">
        <v>0</v>
      </c>
      <c r="H168" s="28">
        <v>0</v>
      </c>
      <c r="I168" s="14">
        <v>1</v>
      </c>
      <c r="J168" s="24">
        <v>1</v>
      </c>
    </row>
    <row r="169" spans="1:10" x14ac:dyDescent="0.35">
      <c r="A169" s="12">
        <v>12</v>
      </c>
      <c r="B169" s="14">
        <v>14</v>
      </c>
      <c r="C169" s="14">
        <v>12</v>
      </c>
      <c r="D169" s="27">
        <v>0</v>
      </c>
      <c r="E169" s="14">
        <v>1</v>
      </c>
      <c r="F169" s="14">
        <v>0</v>
      </c>
      <c r="G169" s="14">
        <v>1</v>
      </c>
      <c r="H169" s="28">
        <v>0</v>
      </c>
      <c r="I169" s="14">
        <v>0</v>
      </c>
      <c r="J169" s="24">
        <v>5</v>
      </c>
    </row>
    <row r="170" spans="1:10" x14ac:dyDescent="0.35">
      <c r="A170" s="12">
        <v>1</v>
      </c>
      <c r="B170" s="14">
        <v>15</v>
      </c>
      <c r="C170" s="14">
        <v>1</v>
      </c>
      <c r="D170" s="27">
        <v>1</v>
      </c>
      <c r="E170" s="14">
        <v>1</v>
      </c>
      <c r="F170" s="14">
        <v>0</v>
      </c>
      <c r="G170" s="14">
        <v>1</v>
      </c>
      <c r="H170" s="28">
        <v>1</v>
      </c>
      <c r="I170" s="14">
        <v>0</v>
      </c>
      <c r="J170" s="24">
        <v>4</v>
      </c>
    </row>
    <row r="171" spans="1:10" x14ac:dyDescent="0.35">
      <c r="A171" s="12">
        <v>2</v>
      </c>
      <c r="B171" s="14">
        <v>15</v>
      </c>
      <c r="C171" s="14">
        <v>2</v>
      </c>
      <c r="D171" s="27">
        <v>1</v>
      </c>
      <c r="E171" s="14">
        <v>1</v>
      </c>
      <c r="F171" s="14">
        <v>1</v>
      </c>
      <c r="G171" s="14">
        <v>0</v>
      </c>
      <c r="H171" s="28">
        <v>0</v>
      </c>
      <c r="I171" s="14">
        <v>1</v>
      </c>
      <c r="J171" s="24">
        <v>3</v>
      </c>
    </row>
    <row r="172" spans="1:10" x14ac:dyDescent="0.35">
      <c r="A172" s="12">
        <v>3</v>
      </c>
      <c r="B172" s="14">
        <v>15</v>
      </c>
      <c r="C172" s="14">
        <v>3</v>
      </c>
      <c r="D172" s="27">
        <v>0</v>
      </c>
      <c r="E172" s="14">
        <v>0</v>
      </c>
      <c r="F172" s="14">
        <v>1</v>
      </c>
      <c r="G172" s="14">
        <v>1</v>
      </c>
      <c r="H172" s="28">
        <v>1</v>
      </c>
      <c r="I172" s="14">
        <v>0</v>
      </c>
      <c r="J172" s="24">
        <v>2</v>
      </c>
    </row>
    <row r="173" spans="1:10" x14ac:dyDescent="0.35">
      <c r="A173" s="12">
        <v>4</v>
      </c>
      <c r="B173" s="14">
        <v>15</v>
      </c>
      <c r="C173" s="14">
        <v>4</v>
      </c>
      <c r="D173" s="27">
        <v>1</v>
      </c>
      <c r="E173" s="14">
        <v>1</v>
      </c>
      <c r="F173" s="14">
        <v>1</v>
      </c>
      <c r="G173" s="14">
        <v>1</v>
      </c>
      <c r="H173" s="28">
        <v>0</v>
      </c>
      <c r="I173" s="14">
        <v>0</v>
      </c>
      <c r="J173" s="24">
        <v>5</v>
      </c>
    </row>
    <row r="174" spans="1:10" x14ac:dyDescent="0.35">
      <c r="A174" s="12">
        <v>5</v>
      </c>
      <c r="B174" s="14">
        <v>15</v>
      </c>
      <c r="C174" s="14">
        <v>5</v>
      </c>
      <c r="D174" s="27">
        <v>1</v>
      </c>
      <c r="E174" s="14">
        <v>0</v>
      </c>
      <c r="F174" s="14">
        <v>1</v>
      </c>
      <c r="G174" s="14">
        <v>0</v>
      </c>
      <c r="H174" s="28">
        <v>0</v>
      </c>
      <c r="I174" s="14">
        <v>0</v>
      </c>
      <c r="J174" s="24">
        <v>4</v>
      </c>
    </row>
    <row r="175" spans="1:10" x14ac:dyDescent="0.35">
      <c r="A175" s="12">
        <v>6</v>
      </c>
      <c r="B175" s="14">
        <v>15</v>
      </c>
      <c r="C175" s="14">
        <v>6</v>
      </c>
      <c r="D175" s="27">
        <v>1</v>
      </c>
      <c r="E175" s="14">
        <v>0</v>
      </c>
      <c r="F175" s="14">
        <v>0</v>
      </c>
      <c r="G175" s="14">
        <v>0</v>
      </c>
      <c r="H175" s="28">
        <v>1</v>
      </c>
      <c r="I175" s="14">
        <v>0</v>
      </c>
      <c r="J175" s="24">
        <v>3</v>
      </c>
    </row>
    <row r="176" spans="1:10" x14ac:dyDescent="0.35">
      <c r="A176" s="12">
        <v>7</v>
      </c>
      <c r="B176" s="14">
        <v>15</v>
      </c>
      <c r="C176" s="14">
        <v>7</v>
      </c>
      <c r="D176" s="27">
        <v>0</v>
      </c>
      <c r="E176" s="14">
        <v>1</v>
      </c>
      <c r="F176" s="14">
        <v>1</v>
      </c>
      <c r="G176" s="14">
        <v>0</v>
      </c>
      <c r="H176" s="28">
        <v>1</v>
      </c>
      <c r="I176" s="14">
        <v>0</v>
      </c>
      <c r="J176" s="24">
        <v>3</v>
      </c>
    </row>
    <row r="177" spans="1:10" x14ac:dyDescent="0.35">
      <c r="A177" s="12">
        <v>8</v>
      </c>
      <c r="B177" s="14">
        <v>15</v>
      </c>
      <c r="C177" s="14">
        <v>8</v>
      </c>
      <c r="D177" s="27">
        <v>0</v>
      </c>
      <c r="E177" s="14">
        <v>0</v>
      </c>
      <c r="F177" s="14">
        <v>0</v>
      </c>
      <c r="G177" s="14">
        <v>0</v>
      </c>
      <c r="H177" s="28">
        <v>0</v>
      </c>
      <c r="I177" s="14">
        <v>0</v>
      </c>
      <c r="J177" s="24">
        <v>4</v>
      </c>
    </row>
    <row r="178" spans="1:10" x14ac:dyDescent="0.35">
      <c r="A178" s="12">
        <v>9</v>
      </c>
      <c r="B178" s="14">
        <v>15</v>
      </c>
      <c r="C178" s="14">
        <v>9</v>
      </c>
      <c r="D178" s="27">
        <v>1</v>
      </c>
      <c r="E178" s="14">
        <v>0</v>
      </c>
      <c r="F178" s="14">
        <v>0</v>
      </c>
      <c r="G178" s="14">
        <v>1</v>
      </c>
      <c r="H178" s="28">
        <v>0</v>
      </c>
      <c r="I178" s="14">
        <v>1</v>
      </c>
      <c r="J178" s="24">
        <v>2</v>
      </c>
    </row>
    <row r="179" spans="1:10" x14ac:dyDescent="0.35">
      <c r="A179" s="12">
        <v>10</v>
      </c>
      <c r="B179" s="14">
        <v>15</v>
      </c>
      <c r="C179" s="14">
        <v>10</v>
      </c>
      <c r="D179" s="27">
        <v>0</v>
      </c>
      <c r="E179" s="14">
        <v>0</v>
      </c>
      <c r="F179" s="14">
        <v>1</v>
      </c>
      <c r="G179" s="14">
        <v>1</v>
      </c>
      <c r="H179" s="28">
        <v>0</v>
      </c>
      <c r="I179" s="14">
        <v>1</v>
      </c>
      <c r="J179" s="24">
        <v>3</v>
      </c>
    </row>
    <row r="180" spans="1:10" x14ac:dyDescent="0.35">
      <c r="A180" s="12">
        <v>11</v>
      </c>
      <c r="B180" s="14">
        <v>15</v>
      </c>
      <c r="C180" s="14">
        <v>11</v>
      </c>
      <c r="D180" s="27">
        <v>0</v>
      </c>
      <c r="E180" s="14">
        <v>1</v>
      </c>
      <c r="F180" s="14">
        <v>0</v>
      </c>
      <c r="G180" s="14">
        <v>0</v>
      </c>
      <c r="H180" s="28">
        <v>0</v>
      </c>
      <c r="I180" s="14">
        <v>1</v>
      </c>
      <c r="J180" s="24">
        <v>2</v>
      </c>
    </row>
    <row r="181" spans="1:10" x14ac:dyDescent="0.35">
      <c r="A181" s="12">
        <v>12</v>
      </c>
      <c r="B181" s="14">
        <v>15</v>
      </c>
      <c r="C181" s="14">
        <v>12</v>
      </c>
      <c r="D181" s="27">
        <v>0</v>
      </c>
      <c r="E181" s="14">
        <v>1</v>
      </c>
      <c r="F181" s="14">
        <v>0</v>
      </c>
      <c r="G181" s="14">
        <v>1</v>
      </c>
      <c r="H181" s="28">
        <v>0</v>
      </c>
      <c r="I181" s="14">
        <v>0</v>
      </c>
      <c r="J181" s="24">
        <v>6</v>
      </c>
    </row>
    <row r="182" spans="1:10" x14ac:dyDescent="0.35">
      <c r="A182" s="12">
        <v>1</v>
      </c>
      <c r="B182" s="14">
        <v>16</v>
      </c>
      <c r="C182" s="14">
        <v>1</v>
      </c>
      <c r="D182" s="27">
        <v>1</v>
      </c>
      <c r="E182" s="14">
        <v>1</v>
      </c>
      <c r="F182" s="14">
        <v>0</v>
      </c>
      <c r="G182" s="14">
        <v>1</v>
      </c>
      <c r="H182" s="28">
        <v>1</v>
      </c>
      <c r="I182" s="14">
        <v>0</v>
      </c>
      <c r="J182" s="24">
        <v>5</v>
      </c>
    </row>
    <row r="183" spans="1:10" x14ac:dyDescent="0.35">
      <c r="A183" s="12">
        <v>2</v>
      </c>
      <c r="B183" s="14">
        <v>16</v>
      </c>
      <c r="C183" s="14">
        <v>2</v>
      </c>
      <c r="D183" s="27">
        <v>1</v>
      </c>
      <c r="E183" s="14">
        <v>1</v>
      </c>
      <c r="F183" s="14">
        <v>1</v>
      </c>
      <c r="G183" s="14">
        <v>0</v>
      </c>
      <c r="H183" s="28">
        <v>0</v>
      </c>
      <c r="I183" s="14">
        <v>1</v>
      </c>
      <c r="J183" s="24">
        <v>3</v>
      </c>
    </row>
    <row r="184" spans="1:10" x14ac:dyDescent="0.35">
      <c r="A184" s="12">
        <v>3</v>
      </c>
      <c r="B184" s="14">
        <v>16</v>
      </c>
      <c r="C184" s="14">
        <v>3</v>
      </c>
      <c r="D184" s="27">
        <v>0</v>
      </c>
      <c r="E184" s="14">
        <v>0</v>
      </c>
      <c r="F184" s="14">
        <v>1</v>
      </c>
      <c r="G184" s="14">
        <v>1</v>
      </c>
      <c r="H184" s="28">
        <v>1</v>
      </c>
      <c r="I184" s="14">
        <v>0</v>
      </c>
      <c r="J184" s="24">
        <v>3</v>
      </c>
    </row>
    <row r="185" spans="1:10" x14ac:dyDescent="0.35">
      <c r="A185" s="12">
        <v>4</v>
      </c>
      <c r="B185" s="14">
        <v>16</v>
      </c>
      <c r="C185" s="14">
        <v>4</v>
      </c>
      <c r="D185" s="27">
        <v>1</v>
      </c>
      <c r="E185" s="14">
        <v>1</v>
      </c>
      <c r="F185" s="14">
        <v>1</v>
      </c>
      <c r="G185" s="14">
        <v>1</v>
      </c>
      <c r="H185" s="28">
        <v>0</v>
      </c>
      <c r="I185" s="14">
        <v>0</v>
      </c>
      <c r="J185" s="24">
        <v>6</v>
      </c>
    </row>
    <row r="186" spans="1:10" x14ac:dyDescent="0.35">
      <c r="A186" s="12">
        <v>5</v>
      </c>
      <c r="B186" s="14">
        <v>16</v>
      </c>
      <c r="C186" s="14">
        <v>5</v>
      </c>
      <c r="D186" s="27">
        <v>1</v>
      </c>
      <c r="E186" s="14">
        <v>0</v>
      </c>
      <c r="F186" s="14">
        <v>1</v>
      </c>
      <c r="G186" s="14">
        <v>0</v>
      </c>
      <c r="H186" s="28">
        <v>0</v>
      </c>
      <c r="I186" s="14">
        <v>0</v>
      </c>
      <c r="J186" s="24">
        <v>5</v>
      </c>
    </row>
    <row r="187" spans="1:10" x14ac:dyDescent="0.35">
      <c r="A187" s="12">
        <v>6</v>
      </c>
      <c r="B187" s="14">
        <v>16</v>
      </c>
      <c r="C187" s="14">
        <v>6</v>
      </c>
      <c r="D187" s="27">
        <v>1</v>
      </c>
      <c r="E187" s="14">
        <v>0</v>
      </c>
      <c r="F187" s="14">
        <v>0</v>
      </c>
      <c r="G187" s="14">
        <v>0</v>
      </c>
      <c r="H187" s="28">
        <v>1</v>
      </c>
      <c r="I187" s="14">
        <v>0</v>
      </c>
      <c r="J187" s="24">
        <v>2</v>
      </c>
    </row>
    <row r="188" spans="1:10" x14ac:dyDescent="0.35">
      <c r="A188" s="12">
        <v>7</v>
      </c>
      <c r="B188" s="14">
        <v>16</v>
      </c>
      <c r="C188" s="14">
        <v>7</v>
      </c>
      <c r="D188" s="27">
        <v>0</v>
      </c>
      <c r="E188" s="14">
        <v>1</v>
      </c>
      <c r="F188" s="14">
        <v>1</v>
      </c>
      <c r="G188" s="14">
        <v>0</v>
      </c>
      <c r="H188" s="28">
        <v>1</v>
      </c>
      <c r="I188" s="14">
        <v>0</v>
      </c>
      <c r="J188" s="24">
        <v>3</v>
      </c>
    </row>
    <row r="189" spans="1:10" x14ac:dyDescent="0.35">
      <c r="A189" s="12">
        <v>8</v>
      </c>
      <c r="B189" s="14">
        <v>16</v>
      </c>
      <c r="C189" s="14">
        <v>8</v>
      </c>
      <c r="D189" s="27">
        <v>0</v>
      </c>
      <c r="E189" s="14">
        <v>0</v>
      </c>
      <c r="F189" s="14">
        <v>0</v>
      </c>
      <c r="G189" s="14">
        <v>0</v>
      </c>
      <c r="H189" s="28">
        <v>0</v>
      </c>
      <c r="I189" s="14">
        <v>0</v>
      </c>
      <c r="J189" s="24">
        <v>5</v>
      </c>
    </row>
    <row r="190" spans="1:10" x14ac:dyDescent="0.35">
      <c r="A190" s="12">
        <v>9</v>
      </c>
      <c r="B190" s="14">
        <v>16</v>
      </c>
      <c r="C190" s="14">
        <v>9</v>
      </c>
      <c r="D190" s="27">
        <v>1</v>
      </c>
      <c r="E190" s="14">
        <v>0</v>
      </c>
      <c r="F190" s="14">
        <v>0</v>
      </c>
      <c r="G190" s="14">
        <v>1</v>
      </c>
      <c r="H190" s="28">
        <v>0</v>
      </c>
      <c r="I190" s="14">
        <v>1</v>
      </c>
      <c r="J190" s="24">
        <v>2</v>
      </c>
    </row>
    <row r="191" spans="1:10" x14ac:dyDescent="0.35">
      <c r="A191" s="12">
        <v>10</v>
      </c>
      <c r="B191" s="14">
        <v>16</v>
      </c>
      <c r="C191" s="14">
        <v>10</v>
      </c>
      <c r="D191" s="27">
        <v>0</v>
      </c>
      <c r="E191" s="14">
        <v>0</v>
      </c>
      <c r="F191" s="14">
        <v>1</v>
      </c>
      <c r="G191" s="14">
        <v>1</v>
      </c>
      <c r="H191" s="28">
        <v>0</v>
      </c>
      <c r="I191" s="14">
        <v>1</v>
      </c>
      <c r="J191" s="24">
        <v>3</v>
      </c>
    </row>
    <row r="192" spans="1:10" x14ac:dyDescent="0.35">
      <c r="A192" s="12">
        <v>11</v>
      </c>
      <c r="B192" s="14">
        <v>16</v>
      </c>
      <c r="C192" s="14">
        <v>11</v>
      </c>
      <c r="D192" s="27">
        <v>0</v>
      </c>
      <c r="E192" s="14">
        <v>1</v>
      </c>
      <c r="F192" s="14">
        <v>0</v>
      </c>
      <c r="G192" s="14">
        <v>0</v>
      </c>
      <c r="H192" s="28">
        <v>0</v>
      </c>
      <c r="I192" s="14">
        <v>1</v>
      </c>
      <c r="J192" s="24">
        <v>1</v>
      </c>
    </row>
    <row r="193" spans="1:10" x14ac:dyDescent="0.35">
      <c r="A193" s="12">
        <v>12</v>
      </c>
      <c r="B193" s="14">
        <v>16</v>
      </c>
      <c r="C193" s="14">
        <v>12</v>
      </c>
      <c r="D193" s="27">
        <v>0</v>
      </c>
      <c r="E193" s="14">
        <v>1</v>
      </c>
      <c r="F193" s="14">
        <v>0</v>
      </c>
      <c r="G193" s="14">
        <v>1</v>
      </c>
      <c r="H193" s="28">
        <v>0</v>
      </c>
      <c r="I193" s="14">
        <v>0</v>
      </c>
      <c r="J193" s="24">
        <v>6</v>
      </c>
    </row>
    <row r="194" spans="1:10" x14ac:dyDescent="0.35">
      <c r="A194" s="12">
        <v>1</v>
      </c>
      <c r="B194" s="14">
        <v>17</v>
      </c>
      <c r="C194" s="14">
        <v>1</v>
      </c>
      <c r="D194" s="27">
        <v>1</v>
      </c>
      <c r="E194" s="14">
        <v>1</v>
      </c>
      <c r="F194" s="14">
        <v>0</v>
      </c>
      <c r="G194" s="14">
        <v>1</v>
      </c>
      <c r="H194" s="28">
        <v>1</v>
      </c>
      <c r="I194" s="14">
        <v>0</v>
      </c>
      <c r="J194" s="24">
        <v>4</v>
      </c>
    </row>
    <row r="195" spans="1:10" x14ac:dyDescent="0.35">
      <c r="A195" s="12">
        <v>2</v>
      </c>
      <c r="B195" s="14">
        <v>17</v>
      </c>
      <c r="C195" s="14">
        <v>2</v>
      </c>
      <c r="D195" s="27">
        <v>1</v>
      </c>
      <c r="E195" s="14">
        <v>1</v>
      </c>
      <c r="F195" s="14">
        <v>1</v>
      </c>
      <c r="G195" s="14">
        <v>0</v>
      </c>
      <c r="H195" s="28">
        <v>0</v>
      </c>
      <c r="I195" s="14">
        <v>1</v>
      </c>
      <c r="J195" s="24">
        <v>2</v>
      </c>
    </row>
    <row r="196" spans="1:10" x14ac:dyDescent="0.35">
      <c r="A196" s="12">
        <v>3</v>
      </c>
      <c r="B196" s="14">
        <v>17</v>
      </c>
      <c r="C196" s="14">
        <v>3</v>
      </c>
      <c r="D196" s="27">
        <v>0</v>
      </c>
      <c r="E196" s="14">
        <v>0</v>
      </c>
      <c r="F196" s="14">
        <v>1</v>
      </c>
      <c r="G196" s="14">
        <v>1</v>
      </c>
      <c r="H196" s="28">
        <v>1</v>
      </c>
      <c r="I196" s="14">
        <v>0</v>
      </c>
      <c r="J196" s="24">
        <v>3</v>
      </c>
    </row>
    <row r="197" spans="1:10" x14ac:dyDescent="0.35">
      <c r="A197" s="12">
        <v>4</v>
      </c>
      <c r="B197" s="14">
        <v>17</v>
      </c>
      <c r="C197" s="14">
        <v>4</v>
      </c>
      <c r="D197" s="27">
        <v>1</v>
      </c>
      <c r="E197" s="14">
        <v>1</v>
      </c>
      <c r="F197" s="14">
        <v>1</v>
      </c>
      <c r="G197" s="14">
        <v>1</v>
      </c>
      <c r="H197" s="28">
        <v>0</v>
      </c>
      <c r="I197" s="14">
        <v>0</v>
      </c>
      <c r="J197" s="24">
        <v>5</v>
      </c>
    </row>
    <row r="198" spans="1:10" x14ac:dyDescent="0.35">
      <c r="A198" s="12">
        <v>5</v>
      </c>
      <c r="B198" s="14">
        <v>17</v>
      </c>
      <c r="C198" s="14">
        <v>5</v>
      </c>
      <c r="D198" s="27">
        <v>1</v>
      </c>
      <c r="E198" s="14">
        <v>0</v>
      </c>
      <c r="F198" s="14">
        <v>1</v>
      </c>
      <c r="G198" s="14">
        <v>0</v>
      </c>
      <c r="H198" s="28">
        <v>0</v>
      </c>
      <c r="I198" s="14">
        <v>0</v>
      </c>
      <c r="J198" s="24">
        <v>4</v>
      </c>
    </row>
    <row r="199" spans="1:10" x14ac:dyDescent="0.35">
      <c r="A199" s="12">
        <v>6</v>
      </c>
      <c r="B199" s="14">
        <v>17</v>
      </c>
      <c r="C199" s="14">
        <v>6</v>
      </c>
      <c r="D199" s="27">
        <v>1</v>
      </c>
      <c r="E199" s="14">
        <v>0</v>
      </c>
      <c r="F199" s="14">
        <v>0</v>
      </c>
      <c r="G199" s="14">
        <v>0</v>
      </c>
      <c r="H199" s="28">
        <v>1</v>
      </c>
      <c r="I199" s="14">
        <v>0</v>
      </c>
      <c r="J199" s="24">
        <v>3</v>
      </c>
    </row>
    <row r="200" spans="1:10" x14ac:dyDescent="0.35">
      <c r="A200" s="12">
        <v>7</v>
      </c>
      <c r="B200" s="14">
        <v>17</v>
      </c>
      <c r="C200" s="14">
        <v>7</v>
      </c>
      <c r="D200" s="27">
        <v>0</v>
      </c>
      <c r="E200" s="14">
        <v>1</v>
      </c>
      <c r="F200" s="14">
        <v>1</v>
      </c>
      <c r="G200" s="14">
        <v>0</v>
      </c>
      <c r="H200" s="28">
        <v>1</v>
      </c>
      <c r="I200" s="14">
        <v>0</v>
      </c>
      <c r="J200" s="24">
        <v>4</v>
      </c>
    </row>
    <row r="201" spans="1:10" x14ac:dyDescent="0.35">
      <c r="A201" s="12">
        <v>8</v>
      </c>
      <c r="B201" s="14">
        <v>17</v>
      </c>
      <c r="C201" s="14">
        <v>8</v>
      </c>
      <c r="D201" s="27">
        <v>0</v>
      </c>
      <c r="E201" s="14">
        <v>0</v>
      </c>
      <c r="F201" s="14">
        <v>0</v>
      </c>
      <c r="G201" s="14">
        <v>0</v>
      </c>
      <c r="H201" s="28">
        <v>0</v>
      </c>
      <c r="I201" s="14">
        <v>0</v>
      </c>
      <c r="J201" s="24">
        <v>4</v>
      </c>
    </row>
    <row r="202" spans="1:10" x14ac:dyDescent="0.35">
      <c r="A202" s="12">
        <v>9</v>
      </c>
      <c r="B202" s="14">
        <v>17</v>
      </c>
      <c r="C202" s="14">
        <v>9</v>
      </c>
      <c r="D202" s="27">
        <v>1</v>
      </c>
      <c r="E202" s="14">
        <v>0</v>
      </c>
      <c r="F202" s="14">
        <v>0</v>
      </c>
      <c r="G202" s="14">
        <v>1</v>
      </c>
      <c r="H202" s="28">
        <v>0</v>
      </c>
      <c r="I202" s="14">
        <v>1</v>
      </c>
      <c r="J202" s="24">
        <v>2</v>
      </c>
    </row>
    <row r="203" spans="1:10" x14ac:dyDescent="0.35">
      <c r="A203" s="12">
        <v>10</v>
      </c>
      <c r="B203" s="14">
        <v>17</v>
      </c>
      <c r="C203" s="14">
        <v>10</v>
      </c>
      <c r="D203" s="27">
        <v>0</v>
      </c>
      <c r="E203" s="14">
        <v>0</v>
      </c>
      <c r="F203" s="14">
        <v>1</v>
      </c>
      <c r="G203" s="14">
        <v>1</v>
      </c>
      <c r="H203" s="28">
        <v>0</v>
      </c>
      <c r="I203" s="14">
        <v>1</v>
      </c>
      <c r="J203" s="24">
        <v>2</v>
      </c>
    </row>
    <row r="204" spans="1:10" x14ac:dyDescent="0.35">
      <c r="A204" s="12">
        <v>11</v>
      </c>
      <c r="B204" s="14">
        <v>17</v>
      </c>
      <c r="C204" s="14">
        <v>11</v>
      </c>
      <c r="D204" s="27">
        <v>0</v>
      </c>
      <c r="E204" s="14">
        <v>1</v>
      </c>
      <c r="F204" s="14">
        <v>0</v>
      </c>
      <c r="G204" s="14">
        <v>0</v>
      </c>
      <c r="H204" s="28">
        <v>0</v>
      </c>
      <c r="I204" s="14">
        <v>1</v>
      </c>
      <c r="J204" s="24">
        <v>2</v>
      </c>
    </row>
    <row r="205" spans="1:10" x14ac:dyDescent="0.35">
      <c r="A205" s="12">
        <v>12</v>
      </c>
      <c r="B205" s="14">
        <v>17</v>
      </c>
      <c r="C205" s="14">
        <v>12</v>
      </c>
      <c r="D205" s="27">
        <v>0</v>
      </c>
      <c r="E205" s="14">
        <v>1</v>
      </c>
      <c r="F205" s="14">
        <v>0</v>
      </c>
      <c r="G205" s="14">
        <v>1</v>
      </c>
      <c r="H205" s="28">
        <v>0</v>
      </c>
      <c r="I205" s="14">
        <v>0</v>
      </c>
      <c r="J205" s="24">
        <v>6</v>
      </c>
    </row>
    <row r="206" spans="1:10" x14ac:dyDescent="0.35">
      <c r="A206" s="12">
        <v>1</v>
      </c>
      <c r="B206" s="14">
        <v>18</v>
      </c>
      <c r="C206" s="14">
        <v>1</v>
      </c>
      <c r="D206" s="27">
        <v>1</v>
      </c>
      <c r="E206" s="14">
        <v>1</v>
      </c>
      <c r="F206" s="14">
        <v>0</v>
      </c>
      <c r="G206" s="14">
        <v>1</v>
      </c>
      <c r="H206" s="28">
        <v>1</v>
      </c>
      <c r="I206" s="14">
        <v>0</v>
      </c>
      <c r="J206" s="24">
        <v>5</v>
      </c>
    </row>
    <row r="207" spans="1:10" x14ac:dyDescent="0.35">
      <c r="A207" s="12">
        <v>2</v>
      </c>
      <c r="B207" s="14">
        <v>18</v>
      </c>
      <c r="C207" s="14">
        <v>2</v>
      </c>
      <c r="D207" s="27">
        <v>1</v>
      </c>
      <c r="E207" s="14">
        <v>1</v>
      </c>
      <c r="F207" s="14">
        <v>1</v>
      </c>
      <c r="G207" s="14">
        <v>0</v>
      </c>
      <c r="H207" s="28">
        <v>0</v>
      </c>
      <c r="I207" s="14">
        <v>1</v>
      </c>
      <c r="J207" s="24">
        <v>3</v>
      </c>
    </row>
    <row r="208" spans="1:10" x14ac:dyDescent="0.35">
      <c r="A208" s="12">
        <v>3</v>
      </c>
      <c r="B208" s="14">
        <v>18</v>
      </c>
      <c r="C208" s="14">
        <v>3</v>
      </c>
      <c r="D208" s="27">
        <v>0</v>
      </c>
      <c r="E208" s="14">
        <v>0</v>
      </c>
      <c r="F208" s="14">
        <v>1</v>
      </c>
      <c r="G208" s="14">
        <v>1</v>
      </c>
      <c r="H208" s="28">
        <v>1</v>
      </c>
      <c r="I208" s="14">
        <v>0</v>
      </c>
      <c r="J208" s="24">
        <v>3</v>
      </c>
    </row>
    <row r="209" spans="1:10" x14ac:dyDescent="0.35">
      <c r="A209" s="12">
        <v>4</v>
      </c>
      <c r="B209" s="14">
        <v>18</v>
      </c>
      <c r="C209" s="14">
        <v>4</v>
      </c>
      <c r="D209" s="27">
        <v>1</v>
      </c>
      <c r="E209" s="14">
        <v>1</v>
      </c>
      <c r="F209" s="14">
        <v>1</v>
      </c>
      <c r="G209" s="14">
        <v>1</v>
      </c>
      <c r="H209" s="28">
        <v>0</v>
      </c>
      <c r="I209" s="14">
        <v>0</v>
      </c>
      <c r="J209" s="24">
        <v>6</v>
      </c>
    </row>
    <row r="210" spans="1:10" x14ac:dyDescent="0.35">
      <c r="A210" s="12">
        <v>5</v>
      </c>
      <c r="B210" s="14">
        <v>18</v>
      </c>
      <c r="C210" s="14">
        <v>5</v>
      </c>
      <c r="D210" s="27">
        <v>1</v>
      </c>
      <c r="E210" s="14">
        <v>0</v>
      </c>
      <c r="F210" s="14">
        <v>1</v>
      </c>
      <c r="G210" s="14">
        <v>0</v>
      </c>
      <c r="H210" s="28">
        <v>0</v>
      </c>
      <c r="I210" s="14">
        <v>0</v>
      </c>
      <c r="J210" s="24">
        <v>5</v>
      </c>
    </row>
    <row r="211" spans="1:10" x14ac:dyDescent="0.35">
      <c r="A211" s="12">
        <v>6</v>
      </c>
      <c r="B211" s="14">
        <v>18</v>
      </c>
      <c r="C211" s="14">
        <v>6</v>
      </c>
      <c r="D211" s="27">
        <v>1</v>
      </c>
      <c r="E211" s="14">
        <v>0</v>
      </c>
      <c r="F211" s="14">
        <v>0</v>
      </c>
      <c r="G211" s="14">
        <v>0</v>
      </c>
      <c r="H211" s="28">
        <v>1</v>
      </c>
      <c r="I211" s="14">
        <v>0</v>
      </c>
      <c r="J211" s="24">
        <v>3</v>
      </c>
    </row>
    <row r="212" spans="1:10" x14ac:dyDescent="0.35">
      <c r="A212" s="12">
        <v>7</v>
      </c>
      <c r="B212" s="14">
        <v>18</v>
      </c>
      <c r="C212" s="14">
        <v>7</v>
      </c>
      <c r="D212" s="27">
        <v>0</v>
      </c>
      <c r="E212" s="14">
        <v>1</v>
      </c>
      <c r="F212" s="14">
        <v>1</v>
      </c>
      <c r="G212" s="14">
        <v>0</v>
      </c>
      <c r="H212" s="28">
        <v>1</v>
      </c>
      <c r="I212" s="14">
        <v>0</v>
      </c>
      <c r="J212" s="24">
        <v>4</v>
      </c>
    </row>
    <row r="213" spans="1:10" x14ac:dyDescent="0.35">
      <c r="A213" s="12">
        <v>8</v>
      </c>
      <c r="B213" s="14">
        <v>18</v>
      </c>
      <c r="C213" s="14">
        <v>8</v>
      </c>
      <c r="D213" s="27">
        <v>0</v>
      </c>
      <c r="E213" s="14">
        <v>0</v>
      </c>
      <c r="F213" s="14">
        <v>0</v>
      </c>
      <c r="G213" s="14">
        <v>0</v>
      </c>
      <c r="H213" s="28">
        <v>0</v>
      </c>
      <c r="I213" s="14">
        <v>0</v>
      </c>
      <c r="J213" s="24">
        <v>5</v>
      </c>
    </row>
    <row r="214" spans="1:10" x14ac:dyDescent="0.35">
      <c r="A214" s="12">
        <v>9</v>
      </c>
      <c r="B214" s="14">
        <v>18</v>
      </c>
      <c r="C214" s="14">
        <v>9</v>
      </c>
      <c r="D214" s="27">
        <v>1</v>
      </c>
      <c r="E214" s="14">
        <v>0</v>
      </c>
      <c r="F214" s="14">
        <v>0</v>
      </c>
      <c r="G214" s="14">
        <v>1</v>
      </c>
      <c r="H214" s="28">
        <v>0</v>
      </c>
      <c r="I214" s="14">
        <v>1</v>
      </c>
      <c r="J214" s="24">
        <v>1</v>
      </c>
    </row>
    <row r="215" spans="1:10" x14ac:dyDescent="0.35">
      <c r="A215" s="12">
        <v>10</v>
      </c>
      <c r="B215" s="14">
        <v>18</v>
      </c>
      <c r="C215" s="14">
        <v>10</v>
      </c>
      <c r="D215" s="27">
        <v>0</v>
      </c>
      <c r="E215" s="14">
        <v>0</v>
      </c>
      <c r="F215" s="14">
        <v>1</v>
      </c>
      <c r="G215" s="14">
        <v>1</v>
      </c>
      <c r="H215" s="28">
        <v>0</v>
      </c>
      <c r="I215" s="14">
        <v>1</v>
      </c>
      <c r="J215" s="24">
        <v>3</v>
      </c>
    </row>
    <row r="216" spans="1:10" x14ac:dyDescent="0.35">
      <c r="A216" s="12">
        <v>11</v>
      </c>
      <c r="B216" s="14">
        <v>18</v>
      </c>
      <c r="C216" s="14">
        <v>11</v>
      </c>
      <c r="D216" s="27">
        <v>0</v>
      </c>
      <c r="E216" s="14">
        <v>1</v>
      </c>
      <c r="F216" s="14">
        <v>0</v>
      </c>
      <c r="G216" s="14">
        <v>0</v>
      </c>
      <c r="H216" s="28">
        <v>0</v>
      </c>
      <c r="I216" s="14">
        <v>1</v>
      </c>
      <c r="J216" s="24">
        <v>2</v>
      </c>
    </row>
    <row r="217" spans="1:10" x14ac:dyDescent="0.35">
      <c r="A217" s="12">
        <v>12</v>
      </c>
      <c r="B217" s="14">
        <v>18</v>
      </c>
      <c r="C217" s="14">
        <v>12</v>
      </c>
      <c r="D217" s="27">
        <v>0</v>
      </c>
      <c r="E217" s="14">
        <v>1</v>
      </c>
      <c r="F217" s="14">
        <v>0</v>
      </c>
      <c r="G217" s="14">
        <v>1</v>
      </c>
      <c r="H217" s="28">
        <v>0</v>
      </c>
      <c r="I217" s="14">
        <v>0</v>
      </c>
      <c r="J217" s="24">
        <v>6</v>
      </c>
    </row>
    <row r="218" spans="1:10" x14ac:dyDescent="0.35">
      <c r="A218" s="12">
        <v>1</v>
      </c>
      <c r="B218" s="14">
        <v>19</v>
      </c>
      <c r="C218" s="14">
        <v>1</v>
      </c>
      <c r="D218" s="27">
        <v>1</v>
      </c>
      <c r="E218" s="14">
        <v>1</v>
      </c>
      <c r="F218" s="14">
        <v>0</v>
      </c>
      <c r="G218" s="14">
        <v>1</v>
      </c>
      <c r="H218" s="28">
        <v>1</v>
      </c>
      <c r="I218" s="14">
        <v>0</v>
      </c>
      <c r="J218" s="24">
        <v>4</v>
      </c>
    </row>
    <row r="219" spans="1:10" x14ac:dyDescent="0.35">
      <c r="A219" s="12">
        <v>2</v>
      </c>
      <c r="B219" s="14">
        <v>19</v>
      </c>
      <c r="C219" s="14">
        <v>2</v>
      </c>
      <c r="D219" s="27">
        <v>1</v>
      </c>
      <c r="E219" s="14">
        <v>1</v>
      </c>
      <c r="F219" s="14">
        <v>1</v>
      </c>
      <c r="G219" s="14">
        <v>0</v>
      </c>
      <c r="H219" s="28">
        <v>0</v>
      </c>
      <c r="I219" s="14">
        <v>1</v>
      </c>
      <c r="J219" s="24">
        <v>2</v>
      </c>
    </row>
    <row r="220" spans="1:10" x14ac:dyDescent="0.35">
      <c r="A220" s="12">
        <v>3</v>
      </c>
      <c r="B220" s="14">
        <v>19</v>
      </c>
      <c r="C220" s="14">
        <v>3</v>
      </c>
      <c r="D220" s="27">
        <v>0</v>
      </c>
      <c r="E220" s="14">
        <v>0</v>
      </c>
      <c r="F220" s="14">
        <v>1</v>
      </c>
      <c r="G220" s="14">
        <v>1</v>
      </c>
      <c r="H220" s="28">
        <v>1</v>
      </c>
      <c r="I220" s="14">
        <v>0</v>
      </c>
      <c r="J220" s="24">
        <v>3</v>
      </c>
    </row>
    <row r="221" spans="1:10" x14ac:dyDescent="0.35">
      <c r="A221" s="12">
        <v>4</v>
      </c>
      <c r="B221" s="14">
        <v>19</v>
      </c>
      <c r="C221" s="14">
        <v>4</v>
      </c>
      <c r="D221" s="27">
        <v>1</v>
      </c>
      <c r="E221" s="14">
        <v>1</v>
      </c>
      <c r="F221" s="14">
        <v>1</v>
      </c>
      <c r="G221" s="14">
        <v>1</v>
      </c>
      <c r="H221" s="28">
        <v>0</v>
      </c>
      <c r="I221" s="14">
        <v>0</v>
      </c>
      <c r="J221" s="24">
        <v>6</v>
      </c>
    </row>
    <row r="222" spans="1:10" x14ac:dyDescent="0.35">
      <c r="A222" s="12">
        <v>5</v>
      </c>
      <c r="B222" s="14">
        <v>19</v>
      </c>
      <c r="C222" s="14">
        <v>5</v>
      </c>
      <c r="D222" s="27">
        <v>1</v>
      </c>
      <c r="E222" s="14">
        <v>0</v>
      </c>
      <c r="F222" s="14">
        <v>1</v>
      </c>
      <c r="G222" s="14">
        <v>0</v>
      </c>
      <c r="H222" s="28">
        <v>0</v>
      </c>
      <c r="I222" s="14">
        <v>0</v>
      </c>
      <c r="J222" s="24">
        <v>4</v>
      </c>
    </row>
    <row r="223" spans="1:10" x14ac:dyDescent="0.35">
      <c r="A223" s="12">
        <v>6</v>
      </c>
      <c r="B223" s="14">
        <v>19</v>
      </c>
      <c r="C223" s="14">
        <v>6</v>
      </c>
      <c r="D223" s="27">
        <v>1</v>
      </c>
      <c r="E223" s="14">
        <v>0</v>
      </c>
      <c r="F223" s="14">
        <v>0</v>
      </c>
      <c r="G223" s="14">
        <v>0</v>
      </c>
      <c r="H223" s="28">
        <v>1</v>
      </c>
      <c r="I223" s="14">
        <v>0</v>
      </c>
      <c r="J223" s="24">
        <v>3</v>
      </c>
    </row>
    <row r="224" spans="1:10" x14ac:dyDescent="0.35">
      <c r="A224" s="12">
        <v>7</v>
      </c>
      <c r="B224" s="14">
        <v>19</v>
      </c>
      <c r="C224" s="14">
        <v>7</v>
      </c>
      <c r="D224" s="27">
        <v>0</v>
      </c>
      <c r="E224" s="14">
        <v>1</v>
      </c>
      <c r="F224" s="14">
        <v>1</v>
      </c>
      <c r="G224" s="14">
        <v>0</v>
      </c>
      <c r="H224" s="28">
        <v>1</v>
      </c>
      <c r="I224" s="14">
        <v>0</v>
      </c>
      <c r="J224" s="24">
        <v>3</v>
      </c>
    </row>
    <row r="225" spans="1:24" x14ac:dyDescent="0.35">
      <c r="A225" s="12">
        <v>8</v>
      </c>
      <c r="B225" s="14">
        <v>19</v>
      </c>
      <c r="C225" s="14">
        <v>8</v>
      </c>
      <c r="D225" s="27">
        <v>0</v>
      </c>
      <c r="E225" s="14">
        <v>0</v>
      </c>
      <c r="F225" s="14">
        <v>0</v>
      </c>
      <c r="G225" s="14">
        <v>0</v>
      </c>
      <c r="H225" s="28">
        <v>0</v>
      </c>
      <c r="I225" s="14">
        <v>0</v>
      </c>
      <c r="J225" s="24">
        <v>4</v>
      </c>
    </row>
    <row r="226" spans="1:24" x14ac:dyDescent="0.35">
      <c r="A226" s="12">
        <v>9</v>
      </c>
      <c r="B226" s="14">
        <v>19</v>
      </c>
      <c r="C226" s="14">
        <v>9</v>
      </c>
      <c r="D226" s="27">
        <v>1</v>
      </c>
      <c r="E226" s="14">
        <v>0</v>
      </c>
      <c r="F226" s="14">
        <v>0</v>
      </c>
      <c r="G226" s="14">
        <v>1</v>
      </c>
      <c r="H226" s="28">
        <v>0</v>
      </c>
      <c r="I226" s="14">
        <v>1</v>
      </c>
      <c r="J226" s="24">
        <v>1</v>
      </c>
    </row>
    <row r="227" spans="1:24" x14ac:dyDescent="0.35">
      <c r="A227" s="12">
        <v>10</v>
      </c>
      <c r="B227" s="14">
        <v>19</v>
      </c>
      <c r="C227" s="14">
        <v>10</v>
      </c>
      <c r="D227" s="27">
        <v>0</v>
      </c>
      <c r="E227" s="14">
        <v>0</v>
      </c>
      <c r="F227" s="14">
        <v>1</v>
      </c>
      <c r="G227" s="14">
        <v>1</v>
      </c>
      <c r="H227" s="28">
        <v>0</v>
      </c>
      <c r="I227" s="14">
        <v>1</v>
      </c>
      <c r="J227" s="24">
        <v>2</v>
      </c>
    </row>
    <row r="228" spans="1:24" x14ac:dyDescent="0.35">
      <c r="A228" s="12">
        <v>11</v>
      </c>
      <c r="B228" s="14">
        <v>19</v>
      </c>
      <c r="C228" s="14">
        <v>11</v>
      </c>
      <c r="D228" s="27">
        <v>0</v>
      </c>
      <c r="E228" s="14">
        <v>1</v>
      </c>
      <c r="F228" s="14">
        <v>0</v>
      </c>
      <c r="G228" s="14">
        <v>0</v>
      </c>
      <c r="H228" s="28">
        <v>0</v>
      </c>
      <c r="I228" s="14">
        <v>1</v>
      </c>
      <c r="J228" s="24">
        <v>1</v>
      </c>
    </row>
    <row r="229" spans="1:24" x14ac:dyDescent="0.35">
      <c r="A229" s="12">
        <v>12</v>
      </c>
      <c r="B229" s="14">
        <v>19</v>
      </c>
      <c r="C229" s="14">
        <v>12</v>
      </c>
      <c r="D229" s="27">
        <v>0</v>
      </c>
      <c r="E229" s="14">
        <v>1</v>
      </c>
      <c r="F229" s="14">
        <v>0</v>
      </c>
      <c r="G229" s="14">
        <v>1</v>
      </c>
      <c r="H229" s="28">
        <v>0</v>
      </c>
      <c r="I229" s="14">
        <v>0</v>
      </c>
      <c r="J229" s="24">
        <v>5</v>
      </c>
    </row>
    <row r="230" spans="1:24" x14ac:dyDescent="0.35">
      <c r="A230" s="12">
        <v>1</v>
      </c>
      <c r="B230" s="14">
        <v>20</v>
      </c>
      <c r="C230" s="14">
        <v>1</v>
      </c>
      <c r="D230" s="27">
        <v>1</v>
      </c>
      <c r="E230" s="14">
        <v>1</v>
      </c>
      <c r="F230" s="14">
        <v>0</v>
      </c>
      <c r="G230" s="14">
        <v>1</v>
      </c>
      <c r="H230" s="28">
        <v>1</v>
      </c>
      <c r="I230" s="14">
        <v>0</v>
      </c>
      <c r="J230" s="24">
        <v>5</v>
      </c>
    </row>
    <row r="231" spans="1:24" x14ac:dyDescent="0.35">
      <c r="A231" s="12">
        <v>2</v>
      </c>
      <c r="B231" s="14">
        <v>20</v>
      </c>
      <c r="C231" s="14">
        <v>2</v>
      </c>
      <c r="D231" s="27">
        <v>1</v>
      </c>
      <c r="E231" s="14">
        <v>1</v>
      </c>
      <c r="F231" s="14">
        <v>1</v>
      </c>
      <c r="G231" s="14">
        <v>0</v>
      </c>
      <c r="H231" s="28">
        <v>0</v>
      </c>
      <c r="I231" s="14">
        <v>1</v>
      </c>
      <c r="J231" s="24">
        <v>3</v>
      </c>
    </row>
    <row r="232" spans="1:24" x14ac:dyDescent="0.35">
      <c r="A232" s="12">
        <v>3</v>
      </c>
      <c r="B232" s="14">
        <v>20</v>
      </c>
      <c r="C232" s="14">
        <v>3</v>
      </c>
      <c r="D232" s="27">
        <v>0</v>
      </c>
      <c r="E232" s="14">
        <v>0</v>
      </c>
      <c r="F232" s="14">
        <v>1</v>
      </c>
      <c r="G232" s="14">
        <v>1</v>
      </c>
      <c r="H232" s="28">
        <v>1</v>
      </c>
      <c r="I232" s="14">
        <v>0</v>
      </c>
      <c r="J232" s="24">
        <v>3</v>
      </c>
    </row>
    <row r="233" spans="1:24" x14ac:dyDescent="0.35">
      <c r="A233" s="12">
        <v>4</v>
      </c>
      <c r="B233" s="14">
        <v>20</v>
      </c>
      <c r="C233" s="14">
        <v>4</v>
      </c>
      <c r="D233" s="27">
        <v>1</v>
      </c>
      <c r="E233" s="14">
        <v>1</v>
      </c>
      <c r="F233" s="14">
        <v>1</v>
      </c>
      <c r="G233" s="14">
        <v>1</v>
      </c>
      <c r="H233" s="28">
        <v>0</v>
      </c>
      <c r="I233" s="14">
        <v>0</v>
      </c>
      <c r="J233" s="24">
        <v>6</v>
      </c>
      <c r="M233" s="22">
        <v>4</v>
      </c>
      <c r="N233" s="22">
        <v>6</v>
      </c>
      <c r="O233" s="22">
        <v>3</v>
      </c>
      <c r="P233" s="22">
        <v>6</v>
      </c>
      <c r="Q233" s="22">
        <v>4</v>
      </c>
      <c r="R233" s="22">
        <v>6</v>
      </c>
      <c r="S233" s="22">
        <v>3</v>
      </c>
      <c r="T233" s="22">
        <v>5</v>
      </c>
      <c r="U233" s="22">
        <v>6</v>
      </c>
      <c r="V233" s="22">
        <v>5</v>
      </c>
      <c r="W233" s="22">
        <v>3</v>
      </c>
      <c r="X233" s="22">
        <v>3</v>
      </c>
    </row>
    <row r="234" spans="1:24" x14ac:dyDescent="0.35">
      <c r="A234" s="12">
        <v>5</v>
      </c>
      <c r="B234" s="14">
        <v>20</v>
      </c>
      <c r="C234" s="14">
        <v>5</v>
      </c>
      <c r="D234" s="27">
        <v>1</v>
      </c>
      <c r="E234" s="14">
        <v>0</v>
      </c>
      <c r="F234" s="14">
        <v>1</v>
      </c>
      <c r="G234" s="14">
        <v>0</v>
      </c>
      <c r="H234" s="28">
        <v>0</v>
      </c>
      <c r="I234" s="14">
        <v>0</v>
      </c>
      <c r="J234" s="24">
        <v>5</v>
      </c>
    </row>
    <row r="235" spans="1:24" x14ac:dyDescent="0.35">
      <c r="A235" s="12">
        <v>6</v>
      </c>
      <c r="B235" s="14">
        <v>20</v>
      </c>
      <c r="C235" s="14">
        <v>6</v>
      </c>
      <c r="D235" s="27">
        <v>1</v>
      </c>
      <c r="E235" s="14">
        <v>0</v>
      </c>
      <c r="F235" s="14">
        <v>0</v>
      </c>
      <c r="G235" s="14">
        <v>0</v>
      </c>
      <c r="H235" s="28">
        <v>1</v>
      </c>
      <c r="I235" s="14">
        <v>0</v>
      </c>
      <c r="J235" s="24">
        <v>3</v>
      </c>
    </row>
    <row r="236" spans="1:24" x14ac:dyDescent="0.35">
      <c r="A236" s="12">
        <v>7</v>
      </c>
      <c r="B236" s="14">
        <v>20</v>
      </c>
      <c r="C236" s="14">
        <v>7</v>
      </c>
      <c r="D236" s="27">
        <v>0</v>
      </c>
      <c r="E236" s="14">
        <v>1</v>
      </c>
      <c r="F236" s="14">
        <v>1</v>
      </c>
      <c r="G236" s="14">
        <v>0</v>
      </c>
      <c r="H236" s="28">
        <v>1</v>
      </c>
      <c r="I236" s="14">
        <v>0</v>
      </c>
      <c r="J236" s="24">
        <v>4</v>
      </c>
    </row>
    <row r="237" spans="1:24" x14ac:dyDescent="0.35">
      <c r="A237" s="12">
        <v>8</v>
      </c>
      <c r="B237" s="14">
        <v>20</v>
      </c>
      <c r="C237" s="14">
        <v>8</v>
      </c>
      <c r="D237" s="27">
        <v>0</v>
      </c>
      <c r="E237" s="14">
        <v>0</v>
      </c>
      <c r="F237" s="14">
        <v>0</v>
      </c>
      <c r="G237" s="14">
        <v>0</v>
      </c>
      <c r="H237" s="28">
        <v>0</v>
      </c>
      <c r="I237" s="14">
        <v>0</v>
      </c>
      <c r="J237" s="24">
        <v>4</v>
      </c>
    </row>
    <row r="238" spans="1:24" x14ac:dyDescent="0.35">
      <c r="A238" s="12">
        <v>9</v>
      </c>
      <c r="B238" s="14">
        <v>20</v>
      </c>
      <c r="C238" s="14">
        <v>9</v>
      </c>
      <c r="D238" s="27">
        <v>1</v>
      </c>
      <c r="E238" s="14">
        <v>0</v>
      </c>
      <c r="F238" s="14">
        <v>0</v>
      </c>
      <c r="G238" s="14">
        <v>1</v>
      </c>
      <c r="H238" s="28">
        <v>0</v>
      </c>
      <c r="I238" s="14">
        <v>1</v>
      </c>
      <c r="J238" s="24">
        <v>2</v>
      </c>
    </row>
    <row r="239" spans="1:24" x14ac:dyDescent="0.35">
      <c r="A239" s="12">
        <v>10</v>
      </c>
      <c r="B239" s="14">
        <v>20</v>
      </c>
      <c r="C239" s="14">
        <v>10</v>
      </c>
      <c r="D239" s="27">
        <v>0</v>
      </c>
      <c r="E239" s="14">
        <v>0</v>
      </c>
      <c r="F239" s="14">
        <v>1</v>
      </c>
      <c r="G239" s="14">
        <v>1</v>
      </c>
      <c r="H239" s="28">
        <v>0</v>
      </c>
      <c r="I239" s="14">
        <v>1</v>
      </c>
      <c r="J239" s="24">
        <v>3</v>
      </c>
    </row>
    <row r="240" spans="1:24" x14ac:dyDescent="0.35">
      <c r="A240" s="12">
        <v>11</v>
      </c>
      <c r="B240" s="14">
        <v>20</v>
      </c>
      <c r="C240" s="14">
        <v>11</v>
      </c>
      <c r="D240" s="27">
        <v>0</v>
      </c>
      <c r="E240" s="14">
        <v>1</v>
      </c>
      <c r="F240" s="14">
        <v>0</v>
      </c>
      <c r="G240" s="14">
        <v>0</v>
      </c>
      <c r="H240" s="28">
        <v>0</v>
      </c>
      <c r="I240" s="14">
        <v>1</v>
      </c>
      <c r="J240" s="24">
        <v>1</v>
      </c>
    </row>
    <row r="241" spans="1:10" x14ac:dyDescent="0.35">
      <c r="A241" s="12">
        <v>12</v>
      </c>
      <c r="B241" s="14">
        <v>20</v>
      </c>
      <c r="C241" s="14">
        <v>12</v>
      </c>
      <c r="D241" s="27">
        <v>0</v>
      </c>
      <c r="E241" s="14">
        <v>1</v>
      </c>
      <c r="F241" s="14">
        <v>0</v>
      </c>
      <c r="G241" s="14">
        <v>1</v>
      </c>
      <c r="H241" s="28">
        <v>0</v>
      </c>
      <c r="I241" s="14">
        <v>0</v>
      </c>
      <c r="J241" s="24">
        <v>6</v>
      </c>
    </row>
    <row r="242" spans="1:10" x14ac:dyDescent="0.35">
      <c r="A242" s="12">
        <v>1</v>
      </c>
      <c r="B242" s="14">
        <v>21</v>
      </c>
      <c r="C242" s="14">
        <v>1</v>
      </c>
      <c r="D242" s="27">
        <v>1</v>
      </c>
      <c r="E242" s="14">
        <v>1</v>
      </c>
      <c r="F242" s="14">
        <v>0</v>
      </c>
      <c r="G242" s="14">
        <v>1</v>
      </c>
      <c r="H242" s="28">
        <v>1</v>
      </c>
      <c r="I242" s="14">
        <v>0</v>
      </c>
      <c r="J242" s="24">
        <v>6</v>
      </c>
    </row>
    <row r="243" spans="1:10" x14ac:dyDescent="0.35">
      <c r="A243" s="12">
        <v>2</v>
      </c>
      <c r="B243" s="14">
        <v>21</v>
      </c>
      <c r="C243" s="14">
        <v>2</v>
      </c>
      <c r="D243" s="27">
        <v>1</v>
      </c>
      <c r="E243" s="14">
        <v>1</v>
      </c>
      <c r="F243" s="14">
        <v>1</v>
      </c>
      <c r="G243" s="14">
        <v>0</v>
      </c>
      <c r="H243" s="28">
        <v>0</v>
      </c>
      <c r="I243" s="14">
        <v>1</v>
      </c>
      <c r="J243" s="24">
        <v>3</v>
      </c>
    </row>
    <row r="244" spans="1:10" x14ac:dyDescent="0.35">
      <c r="A244" s="12">
        <v>3</v>
      </c>
      <c r="B244" s="14">
        <v>21</v>
      </c>
      <c r="C244" s="14">
        <v>3</v>
      </c>
      <c r="D244" s="27">
        <v>0</v>
      </c>
      <c r="E244" s="14">
        <v>0</v>
      </c>
      <c r="F244" s="14">
        <v>1</v>
      </c>
      <c r="G244" s="14">
        <v>1</v>
      </c>
      <c r="H244" s="28">
        <v>1</v>
      </c>
      <c r="I244" s="14">
        <v>0</v>
      </c>
      <c r="J244" s="24">
        <v>4</v>
      </c>
    </row>
    <row r="245" spans="1:10" x14ac:dyDescent="0.35">
      <c r="A245" s="12">
        <v>4</v>
      </c>
      <c r="B245" s="14">
        <v>21</v>
      </c>
      <c r="C245" s="14">
        <v>4</v>
      </c>
      <c r="D245" s="27">
        <v>1</v>
      </c>
      <c r="E245" s="14">
        <v>1</v>
      </c>
      <c r="F245" s="14">
        <v>1</v>
      </c>
      <c r="G245" s="14">
        <v>1</v>
      </c>
      <c r="H245" s="28">
        <v>0</v>
      </c>
      <c r="I245" s="14">
        <v>0</v>
      </c>
      <c r="J245" s="24">
        <v>7</v>
      </c>
    </row>
    <row r="246" spans="1:10" x14ac:dyDescent="0.35">
      <c r="A246" s="12">
        <v>5</v>
      </c>
      <c r="B246" s="14">
        <v>21</v>
      </c>
      <c r="C246" s="14">
        <v>5</v>
      </c>
      <c r="D246" s="27">
        <v>1</v>
      </c>
      <c r="E246" s="14">
        <v>0</v>
      </c>
      <c r="F246" s="14">
        <v>1</v>
      </c>
      <c r="G246" s="14">
        <v>0</v>
      </c>
      <c r="H246" s="28">
        <v>0</v>
      </c>
      <c r="I246" s="14">
        <v>0</v>
      </c>
      <c r="J246" s="24">
        <v>5</v>
      </c>
    </row>
    <row r="247" spans="1:10" x14ac:dyDescent="0.35">
      <c r="A247" s="12">
        <v>6</v>
      </c>
      <c r="B247" s="14">
        <v>21</v>
      </c>
      <c r="C247" s="14">
        <v>6</v>
      </c>
      <c r="D247" s="27">
        <v>1</v>
      </c>
      <c r="E247" s="14">
        <v>0</v>
      </c>
      <c r="F247" s="14">
        <v>0</v>
      </c>
      <c r="G247" s="14">
        <v>0</v>
      </c>
      <c r="H247" s="28">
        <v>1</v>
      </c>
      <c r="I247" s="14">
        <v>0</v>
      </c>
      <c r="J247" s="24">
        <v>3</v>
      </c>
    </row>
    <row r="248" spans="1:10" x14ac:dyDescent="0.35">
      <c r="A248" s="12">
        <v>7</v>
      </c>
      <c r="B248" s="14">
        <v>21</v>
      </c>
      <c r="C248" s="14">
        <v>7</v>
      </c>
      <c r="D248" s="27">
        <v>0</v>
      </c>
      <c r="E248" s="14">
        <v>1</v>
      </c>
      <c r="F248" s="14">
        <v>1</v>
      </c>
      <c r="G248" s="14">
        <v>0</v>
      </c>
      <c r="H248" s="28">
        <v>1</v>
      </c>
      <c r="I248" s="14">
        <v>0</v>
      </c>
      <c r="J248" s="24">
        <v>4</v>
      </c>
    </row>
    <row r="249" spans="1:10" x14ac:dyDescent="0.35">
      <c r="A249" s="12">
        <v>8</v>
      </c>
      <c r="B249" s="14">
        <v>21</v>
      </c>
      <c r="C249" s="14">
        <v>8</v>
      </c>
      <c r="D249" s="27">
        <v>0</v>
      </c>
      <c r="E249" s="14">
        <v>0</v>
      </c>
      <c r="F249" s="14">
        <v>0</v>
      </c>
      <c r="G249" s="14">
        <v>0</v>
      </c>
      <c r="H249" s="28">
        <v>0</v>
      </c>
      <c r="I249" s="14">
        <v>0</v>
      </c>
      <c r="J249" s="24">
        <v>5</v>
      </c>
    </row>
    <row r="250" spans="1:10" x14ac:dyDescent="0.35">
      <c r="A250" s="12">
        <v>9</v>
      </c>
      <c r="B250" s="14">
        <v>21</v>
      </c>
      <c r="C250" s="14">
        <v>9</v>
      </c>
      <c r="D250" s="27">
        <v>1</v>
      </c>
      <c r="E250" s="14">
        <v>0</v>
      </c>
      <c r="F250" s="14">
        <v>0</v>
      </c>
      <c r="G250" s="14">
        <v>1</v>
      </c>
      <c r="H250" s="28">
        <v>0</v>
      </c>
      <c r="I250" s="14">
        <v>1</v>
      </c>
      <c r="J250" s="24">
        <v>2</v>
      </c>
    </row>
    <row r="251" spans="1:10" x14ac:dyDescent="0.35">
      <c r="A251" s="12">
        <v>10</v>
      </c>
      <c r="B251" s="14">
        <v>21</v>
      </c>
      <c r="C251" s="14">
        <v>10</v>
      </c>
      <c r="D251" s="27">
        <v>0</v>
      </c>
      <c r="E251" s="14">
        <v>0</v>
      </c>
      <c r="F251" s="14">
        <v>1</v>
      </c>
      <c r="G251" s="14">
        <v>1</v>
      </c>
      <c r="H251" s="28">
        <v>0</v>
      </c>
      <c r="I251" s="14">
        <v>1</v>
      </c>
      <c r="J251" s="24">
        <v>4</v>
      </c>
    </row>
    <row r="252" spans="1:10" x14ac:dyDescent="0.35">
      <c r="A252" s="12">
        <v>11</v>
      </c>
      <c r="B252" s="14">
        <v>21</v>
      </c>
      <c r="C252" s="14">
        <v>11</v>
      </c>
      <c r="D252" s="27">
        <v>0</v>
      </c>
      <c r="E252" s="14">
        <v>1</v>
      </c>
      <c r="F252" s="14">
        <v>0</v>
      </c>
      <c r="G252" s="14">
        <v>0</v>
      </c>
      <c r="H252" s="28">
        <v>0</v>
      </c>
      <c r="I252" s="14">
        <v>1</v>
      </c>
      <c r="J252" s="24">
        <v>3</v>
      </c>
    </row>
    <row r="253" spans="1:10" x14ac:dyDescent="0.35">
      <c r="A253" s="12">
        <v>12</v>
      </c>
      <c r="B253" s="14">
        <v>21</v>
      </c>
      <c r="C253" s="14">
        <v>12</v>
      </c>
      <c r="D253" s="27">
        <v>0</v>
      </c>
      <c r="E253" s="14">
        <v>1</v>
      </c>
      <c r="F253" s="14">
        <v>0</v>
      </c>
      <c r="G253" s="14">
        <v>1</v>
      </c>
      <c r="H253" s="28">
        <v>0</v>
      </c>
      <c r="I253" s="14">
        <v>0</v>
      </c>
      <c r="J253" s="24">
        <v>6</v>
      </c>
    </row>
    <row r="254" spans="1:10" x14ac:dyDescent="0.35">
      <c r="A254" s="12">
        <v>1</v>
      </c>
      <c r="B254" s="14">
        <v>22</v>
      </c>
      <c r="C254" s="14">
        <v>1</v>
      </c>
      <c r="D254" s="27">
        <v>1</v>
      </c>
      <c r="E254" s="14">
        <v>1</v>
      </c>
      <c r="F254" s="14">
        <v>0</v>
      </c>
      <c r="G254" s="14">
        <v>1</v>
      </c>
      <c r="H254" s="28">
        <v>1</v>
      </c>
      <c r="I254" s="14">
        <v>0</v>
      </c>
      <c r="J254" s="24">
        <v>5</v>
      </c>
    </row>
    <row r="255" spans="1:10" x14ac:dyDescent="0.35">
      <c r="A255" s="12">
        <v>2</v>
      </c>
      <c r="B255" s="14">
        <v>22</v>
      </c>
      <c r="C255" s="14">
        <v>2</v>
      </c>
      <c r="D255" s="27">
        <v>1</v>
      </c>
      <c r="E255" s="14">
        <v>1</v>
      </c>
      <c r="F255" s="14">
        <v>1</v>
      </c>
      <c r="G255" s="14">
        <v>0</v>
      </c>
      <c r="H255" s="28">
        <v>0</v>
      </c>
      <c r="I255" s="14">
        <v>1</v>
      </c>
      <c r="J255" s="24">
        <v>3</v>
      </c>
    </row>
    <row r="256" spans="1:10" x14ac:dyDescent="0.35">
      <c r="A256" s="12">
        <v>3</v>
      </c>
      <c r="B256" s="14">
        <v>22</v>
      </c>
      <c r="C256" s="14">
        <v>3</v>
      </c>
      <c r="D256" s="27">
        <v>0</v>
      </c>
      <c r="E256" s="14">
        <v>0</v>
      </c>
      <c r="F256" s="14">
        <v>1</v>
      </c>
      <c r="G256" s="14">
        <v>1</v>
      </c>
      <c r="H256" s="28">
        <v>1</v>
      </c>
      <c r="I256" s="14">
        <v>0</v>
      </c>
      <c r="J256" s="24">
        <v>4</v>
      </c>
    </row>
    <row r="257" spans="1:10" x14ac:dyDescent="0.35">
      <c r="A257" s="12">
        <v>4</v>
      </c>
      <c r="B257" s="14">
        <v>22</v>
      </c>
      <c r="C257" s="14">
        <v>4</v>
      </c>
      <c r="D257" s="27">
        <v>1</v>
      </c>
      <c r="E257" s="14">
        <v>1</v>
      </c>
      <c r="F257" s="14">
        <v>1</v>
      </c>
      <c r="G257" s="14">
        <v>1</v>
      </c>
      <c r="H257" s="28">
        <v>0</v>
      </c>
      <c r="I257" s="14">
        <v>0</v>
      </c>
      <c r="J257" s="24">
        <v>6</v>
      </c>
    </row>
    <row r="258" spans="1:10" x14ac:dyDescent="0.35">
      <c r="A258" s="12">
        <v>5</v>
      </c>
      <c r="B258" s="14">
        <v>22</v>
      </c>
      <c r="C258" s="14">
        <v>5</v>
      </c>
      <c r="D258" s="27">
        <v>1</v>
      </c>
      <c r="E258" s="14">
        <v>0</v>
      </c>
      <c r="F258" s="14">
        <v>1</v>
      </c>
      <c r="G258" s="14">
        <v>0</v>
      </c>
      <c r="H258" s="28">
        <v>0</v>
      </c>
      <c r="I258" s="14">
        <v>0</v>
      </c>
      <c r="J258" s="24">
        <v>5</v>
      </c>
    </row>
    <row r="259" spans="1:10" x14ac:dyDescent="0.35">
      <c r="A259" s="12">
        <v>6</v>
      </c>
      <c r="B259" s="14">
        <v>22</v>
      </c>
      <c r="C259" s="14">
        <v>6</v>
      </c>
      <c r="D259" s="27">
        <v>1</v>
      </c>
      <c r="E259" s="14">
        <v>0</v>
      </c>
      <c r="F259" s="14">
        <v>0</v>
      </c>
      <c r="G259" s="14">
        <v>0</v>
      </c>
      <c r="H259" s="28">
        <v>1</v>
      </c>
      <c r="I259" s="14">
        <v>0</v>
      </c>
      <c r="J259" s="24">
        <v>3</v>
      </c>
    </row>
    <row r="260" spans="1:10" x14ac:dyDescent="0.35">
      <c r="A260" s="12">
        <v>7</v>
      </c>
      <c r="B260" s="14">
        <v>22</v>
      </c>
      <c r="C260" s="14">
        <v>7</v>
      </c>
      <c r="D260" s="27">
        <v>0</v>
      </c>
      <c r="E260" s="14">
        <v>1</v>
      </c>
      <c r="F260" s="14">
        <v>1</v>
      </c>
      <c r="G260" s="14">
        <v>0</v>
      </c>
      <c r="H260" s="28">
        <v>1</v>
      </c>
      <c r="I260" s="14">
        <v>0</v>
      </c>
      <c r="J260" s="24">
        <v>4</v>
      </c>
    </row>
    <row r="261" spans="1:10" x14ac:dyDescent="0.35">
      <c r="A261" s="12">
        <v>8</v>
      </c>
      <c r="B261" s="14">
        <v>22</v>
      </c>
      <c r="C261" s="14">
        <v>8</v>
      </c>
      <c r="D261" s="27">
        <v>0</v>
      </c>
      <c r="E261" s="14">
        <v>0</v>
      </c>
      <c r="F261" s="14">
        <v>0</v>
      </c>
      <c r="G261" s="14">
        <v>0</v>
      </c>
      <c r="H261" s="28">
        <v>0</v>
      </c>
      <c r="I261" s="14">
        <v>0</v>
      </c>
      <c r="J261" s="24">
        <v>4</v>
      </c>
    </row>
    <row r="262" spans="1:10" x14ac:dyDescent="0.35">
      <c r="A262" s="12">
        <v>9</v>
      </c>
      <c r="B262" s="14">
        <v>22</v>
      </c>
      <c r="C262" s="14">
        <v>9</v>
      </c>
      <c r="D262" s="27">
        <v>1</v>
      </c>
      <c r="E262" s="14">
        <v>0</v>
      </c>
      <c r="F262" s="14">
        <v>0</v>
      </c>
      <c r="G262" s="14">
        <v>1</v>
      </c>
      <c r="H262" s="28">
        <v>0</v>
      </c>
      <c r="I262" s="14">
        <v>1</v>
      </c>
      <c r="J262" s="24">
        <v>3</v>
      </c>
    </row>
    <row r="263" spans="1:10" x14ac:dyDescent="0.35">
      <c r="A263" s="12">
        <v>10</v>
      </c>
      <c r="B263" s="14">
        <v>22</v>
      </c>
      <c r="C263" s="14">
        <v>10</v>
      </c>
      <c r="D263" s="27">
        <v>0</v>
      </c>
      <c r="E263" s="14">
        <v>0</v>
      </c>
      <c r="F263" s="14">
        <v>1</v>
      </c>
      <c r="G263" s="14">
        <v>1</v>
      </c>
      <c r="H263" s="28">
        <v>0</v>
      </c>
      <c r="I263" s="14">
        <v>1</v>
      </c>
      <c r="J263" s="24">
        <v>4</v>
      </c>
    </row>
    <row r="264" spans="1:10" x14ac:dyDescent="0.35">
      <c r="A264" s="12">
        <v>11</v>
      </c>
      <c r="B264" s="14">
        <v>22</v>
      </c>
      <c r="C264" s="14">
        <v>11</v>
      </c>
      <c r="D264" s="27">
        <v>0</v>
      </c>
      <c r="E264" s="14">
        <v>1</v>
      </c>
      <c r="F264" s="14">
        <v>0</v>
      </c>
      <c r="G264" s="14">
        <v>0</v>
      </c>
      <c r="H264" s="28">
        <v>0</v>
      </c>
      <c r="I264" s="14">
        <v>1</v>
      </c>
      <c r="J264" s="24">
        <v>2</v>
      </c>
    </row>
    <row r="265" spans="1:10" x14ac:dyDescent="0.35">
      <c r="A265" s="12">
        <v>12</v>
      </c>
      <c r="B265" s="14">
        <v>22</v>
      </c>
      <c r="C265" s="14">
        <v>12</v>
      </c>
      <c r="D265" s="27">
        <v>0</v>
      </c>
      <c r="E265" s="14">
        <v>1</v>
      </c>
      <c r="F265" s="14">
        <v>0</v>
      </c>
      <c r="G265" s="14">
        <v>1</v>
      </c>
      <c r="H265" s="28">
        <v>0</v>
      </c>
      <c r="I265" s="14">
        <v>0</v>
      </c>
      <c r="J265" s="24">
        <v>7</v>
      </c>
    </row>
    <row r="266" spans="1:10" x14ac:dyDescent="0.35">
      <c r="A266" s="12">
        <v>1</v>
      </c>
      <c r="B266" s="14">
        <v>23</v>
      </c>
      <c r="C266" s="14">
        <v>1</v>
      </c>
      <c r="D266" s="27">
        <v>1</v>
      </c>
      <c r="E266" s="14">
        <v>1</v>
      </c>
      <c r="F266" s="14">
        <v>0</v>
      </c>
      <c r="G266" s="14">
        <v>1</v>
      </c>
      <c r="H266" s="28">
        <v>1</v>
      </c>
      <c r="I266" s="14">
        <v>0</v>
      </c>
      <c r="J266" s="24">
        <v>6</v>
      </c>
    </row>
    <row r="267" spans="1:10" x14ac:dyDescent="0.35">
      <c r="A267" s="12">
        <v>2</v>
      </c>
      <c r="B267" s="14">
        <v>23</v>
      </c>
      <c r="C267" s="14">
        <v>2</v>
      </c>
      <c r="D267" s="27">
        <v>1</v>
      </c>
      <c r="E267" s="14">
        <v>1</v>
      </c>
      <c r="F267" s="14">
        <v>1</v>
      </c>
      <c r="G267" s="14">
        <v>0</v>
      </c>
      <c r="H267" s="28">
        <v>0</v>
      </c>
      <c r="I267" s="14">
        <v>1</v>
      </c>
      <c r="J267" s="24">
        <v>4</v>
      </c>
    </row>
    <row r="268" spans="1:10" x14ac:dyDescent="0.35">
      <c r="A268" s="12">
        <v>3</v>
      </c>
      <c r="B268" s="14">
        <v>23</v>
      </c>
      <c r="C268" s="14">
        <v>3</v>
      </c>
      <c r="D268" s="27">
        <v>0</v>
      </c>
      <c r="E268" s="14">
        <v>0</v>
      </c>
      <c r="F268" s="14">
        <v>1</v>
      </c>
      <c r="G268" s="14">
        <v>1</v>
      </c>
      <c r="H268" s="28">
        <v>1</v>
      </c>
      <c r="I268" s="14">
        <v>0</v>
      </c>
      <c r="J268" s="24">
        <v>3</v>
      </c>
    </row>
    <row r="269" spans="1:10" x14ac:dyDescent="0.35">
      <c r="A269" s="12">
        <v>4</v>
      </c>
      <c r="B269" s="14">
        <v>23</v>
      </c>
      <c r="C269" s="14">
        <v>4</v>
      </c>
      <c r="D269" s="27">
        <v>1</v>
      </c>
      <c r="E269" s="14">
        <v>1</v>
      </c>
      <c r="F269" s="14">
        <v>1</v>
      </c>
      <c r="G269" s="14">
        <v>1</v>
      </c>
      <c r="H269" s="28">
        <v>0</v>
      </c>
      <c r="I269" s="14">
        <v>0</v>
      </c>
      <c r="J269" s="24">
        <v>7</v>
      </c>
    </row>
    <row r="270" spans="1:10" x14ac:dyDescent="0.35">
      <c r="A270" s="12">
        <v>5</v>
      </c>
      <c r="B270" s="14">
        <v>23</v>
      </c>
      <c r="C270" s="14">
        <v>5</v>
      </c>
      <c r="D270" s="27">
        <v>1</v>
      </c>
      <c r="E270" s="14">
        <v>0</v>
      </c>
      <c r="F270" s="14">
        <v>1</v>
      </c>
      <c r="G270" s="14">
        <v>0</v>
      </c>
      <c r="H270" s="28">
        <v>0</v>
      </c>
      <c r="I270" s="14">
        <v>0</v>
      </c>
      <c r="J270" s="24">
        <v>5</v>
      </c>
    </row>
    <row r="271" spans="1:10" x14ac:dyDescent="0.35">
      <c r="A271" s="12">
        <v>6</v>
      </c>
      <c r="B271" s="14">
        <v>23</v>
      </c>
      <c r="C271" s="14">
        <v>6</v>
      </c>
      <c r="D271" s="27">
        <v>1</v>
      </c>
      <c r="E271" s="14">
        <v>0</v>
      </c>
      <c r="F271" s="14">
        <v>0</v>
      </c>
      <c r="G271" s="14">
        <v>0</v>
      </c>
      <c r="H271" s="28">
        <v>1</v>
      </c>
      <c r="I271" s="14">
        <v>0</v>
      </c>
      <c r="J271" s="24">
        <v>3</v>
      </c>
    </row>
    <row r="272" spans="1:10" x14ac:dyDescent="0.35">
      <c r="A272" s="12">
        <v>7</v>
      </c>
      <c r="B272" s="14">
        <v>23</v>
      </c>
      <c r="C272" s="14">
        <v>7</v>
      </c>
      <c r="D272" s="27">
        <v>0</v>
      </c>
      <c r="E272" s="14">
        <v>1</v>
      </c>
      <c r="F272" s="14">
        <v>1</v>
      </c>
      <c r="G272" s="14">
        <v>0</v>
      </c>
      <c r="H272" s="28">
        <v>1</v>
      </c>
      <c r="I272" s="14">
        <v>0</v>
      </c>
      <c r="J272" s="24">
        <v>5</v>
      </c>
    </row>
    <row r="273" spans="1:10" x14ac:dyDescent="0.35">
      <c r="A273" s="12">
        <v>8</v>
      </c>
      <c r="B273" s="14">
        <v>23</v>
      </c>
      <c r="C273" s="14">
        <v>8</v>
      </c>
      <c r="D273" s="27">
        <v>0</v>
      </c>
      <c r="E273" s="14">
        <v>0</v>
      </c>
      <c r="F273" s="14">
        <v>0</v>
      </c>
      <c r="G273" s="14">
        <v>0</v>
      </c>
      <c r="H273" s="28">
        <v>0</v>
      </c>
      <c r="I273" s="14">
        <v>0</v>
      </c>
      <c r="J273" s="24">
        <v>5</v>
      </c>
    </row>
    <row r="274" spans="1:10" x14ac:dyDescent="0.35">
      <c r="A274" s="12">
        <v>9</v>
      </c>
      <c r="B274" s="14">
        <v>23</v>
      </c>
      <c r="C274" s="14">
        <v>9</v>
      </c>
      <c r="D274" s="27">
        <v>1</v>
      </c>
      <c r="E274" s="14">
        <v>0</v>
      </c>
      <c r="F274" s="14">
        <v>0</v>
      </c>
      <c r="G274" s="14">
        <v>1</v>
      </c>
      <c r="H274" s="28">
        <v>0</v>
      </c>
      <c r="I274" s="14">
        <v>1</v>
      </c>
      <c r="J274" s="24">
        <v>3</v>
      </c>
    </row>
    <row r="275" spans="1:10" x14ac:dyDescent="0.35">
      <c r="A275" s="12">
        <v>10</v>
      </c>
      <c r="B275" s="14">
        <v>23</v>
      </c>
      <c r="C275" s="14">
        <v>10</v>
      </c>
      <c r="D275" s="27">
        <v>0</v>
      </c>
      <c r="E275" s="14">
        <v>0</v>
      </c>
      <c r="F275" s="14">
        <v>1</v>
      </c>
      <c r="G275" s="14">
        <v>1</v>
      </c>
      <c r="H275" s="28">
        <v>0</v>
      </c>
      <c r="I275" s="14">
        <v>1</v>
      </c>
      <c r="J275" s="24">
        <v>4</v>
      </c>
    </row>
    <row r="276" spans="1:10" x14ac:dyDescent="0.35">
      <c r="A276" s="12">
        <v>11</v>
      </c>
      <c r="B276" s="14">
        <v>23</v>
      </c>
      <c r="C276" s="14">
        <v>11</v>
      </c>
      <c r="D276" s="27">
        <v>0</v>
      </c>
      <c r="E276" s="14">
        <v>1</v>
      </c>
      <c r="F276" s="14">
        <v>0</v>
      </c>
      <c r="G276" s="14">
        <v>0</v>
      </c>
      <c r="H276" s="28">
        <v>0</v>
      </c>
      <c r="I276" s="14">
        <v>1</v>
      </c>
      <c r="J276" s="24">
        <v>2</v>
      </c>
    </row>
    <row r="277" spans="1:10" x14ac:dyDescent="0.35">
      <c r="A277" s="12">
        <v>12</v>
      </c>
      <c r="B277" s="14">
        <v>23</v>
      </c>
      <c r="C277" s="14">
        <v>12</v>
      </c>
      <c r="D277" s="27">
        <v>0</v>
      </c>
      <c r="E277" s="14">
        <v>1</v>
      </c>
      <c r="F277" s="14">
        <v>0</v>
      </c>
      <c r="G277" s="14">
        <v>1</v>
      </c>
      <c r="H277" s="28">
        <v>0</v>
      </c>
      <c r="I277" s="14">
        <v>0</v>
      </c>
      <c r="J277" s="24">
        <v>6</v>
      </c>
    </row>
    <row r="278" spans="1:10" x14ac:dyDescent="0.35">
      <c r="A278" s="12">
        <v>1</v>
      </c>
      <c r="B278" s="14">
        <v>24</v>
      </c>
      <c r="C278" s="14">
        <v>1</v>
      </c>
      <c r="D278" s="27">
        <v>1</v>
      </c>
      <c r="E278" s="14">
        <v>1</v>
      </c>
      <c r="F278" s="14">
        <v>0</v>
      </c>
      <c r="G278" s="14">
        <v>1</v>
      </c>
      <c r="H278" s="28">
        <v>1</v>
      </c>
      <c r="I278" s="14">
        <v>0</v>
      </c>
      <c r="J278" s="24">
        <v>5</v>
      </c>
    </row>
    <row r="279" spans="1:10" x14ac:dyDescent="0.35">
      <c r="A279" s="12">
        <v>2</v>
      </c>
      <c r="B279" s="14">
        <v>24</v>
      </c>
      <c r="C279" s="14">
        <v>2</v>
      </c>
      <c r="D279" s="27">
        <v>1</v>
      </c>
      <c r="E279" s="14">
        <v>1</v>
      </c>
      <c r="F279" s="14">
        <v>1</v>
      </c>
      <c r="G279" s="14">
        <v>0</v>
      </c>
      <c r="H279" s="28">
        <v>0</v>
      </c>
      <c r="I279" s="14">
        <v>1</v>
      </c>
      <c r="J279" s="24">
        <v>3</v>
      </c>
    </row>
    <row r="280" spans="1:10" x14ac:dyDescent="0.35">
      <c r="A280" s="12">
        <v>3</v>
      </c>
      <c r="B280" s="14">
        <v>24</v>
      </c>
      <c r="C280" s="14">
        <v>3</v>
      </c>
      <c r="D280" s="27">
        <v>0</v>
      </c>
      <c r="E280" s="14">
        <v>0</v>
      </c>
      <c r="F280" s="14">
        <v>1</v>
      </c>
      <c r="G280" s="14">
        <v>1</v>
      </c>
      <c r="H280" s="28">
        <v>1</v>
      </c>
      <c r="I280" s="14">
        <v>0</v>
      </c>
      <c r="J280" s="24">
        <v>3</v>
      </c>
    </row>
    <row r="281" spans="1:10" x14ac:dyDescent="0.35">
      <c r="A281" s="12">
        <v>4</v>
      </c>
      <c r="B281" s="14">
        <v>24</v>
      </c>
      <c r="C281" s="14">
        <v>4</v>
      </c>
      <c r="D281" s="27">
        <v>1</v>
      </c>
      <c r="E281" s="14">
        <v>1</v>
      </c>
      <c r="F281" s="14">
        <v>1</v>
      </c>
      <c r="G281" s="14">
        <v>1</v>
      </c>
      <c r="H281" s="28">
        <v>0</v>
      </c>
      <c r="I281" s="14">
        <v>0</v>
      </c>
      <c r="J281" s="24">
        <v>6</v>
      </c>
    </row>
    <row r="282" spans="1:10" x14ac:dyDescent="0.35">
      <c r="A282" s="12">
        <v>5</v>
      </c>
      <c r="B282" s="14">
        <v>24</v>
      </c>
      <c r="C282" s="14">
        <v>5</v>
      </c>
      <c r="D282" s="27">
        <v>1</v>
      </c>
      <c r="E282" s="14">
        <v>0</v>
      </c>
      <c r="F282" s="14">
        <v>1</v>
      </c>
      <c r="G282" s="14">
        <v>0</v>
      </c>
      <c r="H282" s="28">
        <v>0</v>
      </c>
      <c r="I282" s="14">
        <v>0</v>
      </c>
      <c r="J282" s="24">
        <v>4</v>
      </c>
    </row>
    <row r="283" spans="1:10" x14ac:dyDescent="0.35">
      <c r="A283" s="12">
        <v>6</v>
      </c>
      <c r="B283" s="14">
        <v>24</v>
      </c>
      <c r="C283" s="14">
        <v>6</v>
      </c>
      <c r="D283" s="27">
        <v>1</v>
      </c>
      <c r="E283" s="14">
        <v>0</v>
      </c>
      <c r="F283" s="14">
        <v>0</v>
      </c>
      <c r="G283" s="14">
        <v>0</v>
      </c>
      <c r="H283" s="28">
        <v>1</v>
      </c>
      <c r="I283" s="14">
        <v>0</v>
      </c>
      <c r="J283" s="24">
        <v>3</v>
      </c>
    </row>
    <row r="284" spans="1:10" x14ac:dyDescent="0.35">
      <c r="A284" s="12">
        <v>7</v>
      </c>
      <c r="B284" s="14">
        <v>24</v>
      </c>
      <c r="C284" s="14">
        <v>7</v>
      </c>
      <c r="D284" s="27">
        <v>0</v>
      </c>
      <c r="E284" s="14">
        <v>1</v>
      </c>
      <c r="F284" s="14">
        <v>1</v>
      </c>
      <c r="G284" s="14">
        <v>0</v>
      </c>
      <c r="H284" s="28">
        <v>1</v>
      </c>
      <c r="I284" s="14">
        <v>0</v>
      </c>
      <c r="J284" s="24">
        <v>4</v>
      </c>
    </row>
    <row r="285" spans="1:10" x14ac:dyDescent="0.35">
      <c r="A285" s="12">
        <v>8</v>
      </c>
      <c r="B285" s="14">
        <v>24</v>
      </c>
      <c r="C285" s="14">
        <v>8</v>
      </c>
      <c r="D285" s="27">
        <v>0</v>
      </c>
      <c r="E285" s="14">
        <v>0</v>
      </c>
      <c r="F285" s="14">
        <v>0</v>
      </c>
      <c r="G285" s="14">
        <v>0</v>
      </c>
      <c r="H285" s="28">
        <v>0</v>
      </c>
      <c r="I285" s="14">
        <v>0</v>
      </c>
      <c r="J285" s="24">
        <v>5</v>
      </c>
    </row>
    <row r="286" spans="1:10" x14ac:dyDescent="0.35">
      <c r="A286" s="12">
        <v>9</v>
      </c>
      <c r="B286" s="14">
        <v>24</v>
      </c>
      <c r="C286" s="14">
        <v>9</v>
      </c>
      <c r="D286" s="27">
        <v>1</v>
      </c>
      <c r="E286" s="14">
        <v>0</v>
      </c>
      <c r="F286" s="14">
        <v>0</v>
      </c>
      <c r="G286" s="14">
        <v>1</v>
      </c>
      <c r="H286" s="28">
        <v>0</v>
      </c>
      <c r="I286" s="14">
        <v>1</v>
      </c>
      <c r="J286" s="24">
        <v>2</v>
      </c>
    </row>
    <row r="287" spans="1:10" x14ac:dyDescent="0.35">
      <c r="A287" s="12">
        <v>10</v>
      </c>
      <c r="B287" s="14">
        <v>24</v>
      </c>
      <c r="C287" s="14">
        <v>10</v>
      </c>
      <c r="D287" s="27">
        <v>0</v>
      </c>
      <c r="E287" s="14">
        <v>0</v>
      </c>
      <c r="F287" s="14">
        <v>1</v>
      </c>
      <c r="G287" s="14">
        <v>1</v>
      </c>
      <c r="H287" s="28">
        <v>0</v>
      </c>
      <c r="I287" s="14">
        <v>1</v>
      </c>
      <c r="J287" s="24">
        <v>4</v>
      </c>
    </row>
    <row r="288" spans="1:10" x14ac:dyDescent="0.35">
      <c r="A288" s="12">
        <v>11</v>
      </c>
      <c r="B288" s="14">
        <v>24</v>
      </c>
      <c r="C288" s="14">
        <v>11</v>
      </c>
      <c r="D288" s="27">
        <v>0</v>
      </c>
      <c r="E288" s="14">
        <v>1</v>
      </c>
      <c r="F288" s="14">
        <v>0</v>
      </c>
      <c r="G288" s="14">
        <v>0</v>
      </c>
      <c r="H288" s="28">
        <v>0</v>
      </c>
      <c r="I288" s="14">
        <v>1</v>
      </c>
      <c r="J288" s="24">
        <v>3</v>
      </c>
    </row>
    <row r="289" spans="1:10" x14ac:dyDescent="0.35">
      <c r="A289" s="12">
        <v>12</v>
      </c>
      <c r="B289" s="14">
        <v>24</v>
      </c>
      <c r="C289" s="14">
        <v>12</v>
      </c>
      <c r="D289" s="27">
        <v>0</v>
      </c>
      <c r="E289" s="14">
        <v>1</v>
      </c>
      <c r="F289" s="14">
        <v>0</v>
      </c>
      <c r="G289" s="14">
        <v>1</v>
      </c>
      <c r="H289" s="28">
        <v>0</v>
      </c>
      <c r="I289" s="14">
        <v>0</v>
      </c>
      <c r="J289" s="24">
        <v>6</v>
      </c>
    </row>
    <row r="290" spans="1:10" x14ac:dyDescent="0.35">
      <c r="A290" s="12">
        <v>1</v>
      </c>
      <c r="B290" s="14">
        <v>25</v>
      </c>
      <c r="C290" s="14">
        <v>1</v>
      </c>
      <c r="D290" s="27">
        <v>1</v>
      </c>
      <c r="E290" s="14">
        <v>1</v>
      </c>
      <c r="F290" s="14">
        <v>0</v>
      </c>
      <c r="G290" s="14">
        <v>1</v>
      </c>
      <c r="H290" s="28">
        <v>1</v>
      </c>
      <c r="I290" s="14">
        <v>0</v>
      </c>
      <c r="J290" s="24">
        <v>6</v>
      </c>
    </row>
    <row r="291" spans="1:10" x14ac:dyDescent="0.35">
      <c r="A291" s="12">
        <v>2</v>
      </c>
      <c r="B291" s="14">
        <v>25</v>
      </c>
      <c r="C291" s="14">
        <v>2</v>
      </c>
      <c r="D291" s="27">
        <v>1</v>
      </c>
      <c r="E291" s="14">
        <v>1</v>
      </c>
      <c r="F291" s="14">
        <v>1</v>
      </c>
      <c r="G291" s="14">
        <v>0</v>
      </c>
      <c r="H291" s="28">
        <v>0</v>
      </c>
      <c r="I291" s="14">
        <v>1</v>
      </c>
      <c r="J291" s="24">
        <v>3</v>
      </c>
    </row>
    <row r="292" spans="1:10" x14ac:dyDescent="0.35">
      <c r="A292" s="12">
        <v>3</v>
      </c>
      <c r="B292" s="14">
        <v>25</v>
      </c>
      <c r="C292" s="14">
        <v>3</v>
      </c>
      <c r="D292" s="27">
        <v>0</v>
      </c>
      <c r="E292" s="14">
        <v>0</v>
      </c>
      <c r="F292" s="14">
        <v>1</v>
      </c>
      <c r="G292" s="14">
        <v>1</v>
      </c>
      <c r="H292" s="28">
        <v>1</v>
      </c>
      <c r="I292" s="14">
        <v>0</v>
      </c>
      <c r="J292" s="24">
        <v>4</v>
      </c>
    </row>
    <row r="293" spans="1:10" x14ac:dyDescent="0.35">
      <c r="A293" s="12">
        <v>4</v>
      </c>
      <c r="B293" s="14">
        <v>25</v>
      </c>
      <c r="C293" s="14">
        <v>4</v>
      </c>
      <c r="D293" s="27">
        <v>1</v>
      </c>
      <c r="E293" s="14">
        <v>1</v>
      </c>
      <c r="F293" s="14">
        <v>1</v>
      </c>
      <c r="G293" s="14">
        <v>1</v>
      </c>
      <c r="H293" s="28">
        <v>0</v>
      </c>
      <c r="I293" s="14">
        <v>0</v>
      </c>
      <c r="J293" s="24">
        <v>7</v>
      </c>
    </row>
    <row r="294" spans="1:10" x14ac:dyDescent="0.35">
      <c r="A294" s="12">
        <v>5</v>
      </c>
      <c r="B294" s="14">
        <v>25</v>
      </c>
      <c r="C294" s="14">
        <v>5</v>
      </c>
      <c r="D294" s="27">
        <v>1</v>
      </c>
      <c r="E294" s="14">
        <v>0</v>
      </c>
      <c r="F294" s="14">
        <v>1</v>
      </c>
      <c r="G294" s="14">
        <v>0</v>
      </c>
      <c r="H294" s="28">
        <v>0</v>
      </c>
      <c r="I294" s="14">
        <v>0</v>
      </c>
      <c r="J294" s="24">
        <v>5</v>
      </c>
    </row>
    <row r="295" spans="1:10" x14ac:dyDescent="0.35">
      <c r="A295" s="12">
        <v>6</v>
      </c>
      <c r="B295" s="14">
        <v>25</v>
      </c>
      <c r="C295" s="14">
        <v>6</v>
      </c>
      <c r="D295" s="27">
        <v>1</v>
      </c>
      <c r="E295" s="14">
        <v>0</v>
      </c>
      <c r="F295" s="14">
        <v>0</v>
      </c>
      <c r="G295" s="14">
        <v>0</v>
      </c>
      <c r="H295" s="28">
        <v>1</v>
      </c>
      <c r="I295" s="14">
        <v>0</v>
      </c>
      <c r="J295" s="24">
        <v>3</v>
      </c>
    </row>
    <row r="296" spans="1:10" x14ac:dyDescent="0.35">
      <c r="A296" s="12">
        <v>7</v>
      </c>
      <c r="B296" s="14">
        <v>25</v>
      </c>
      <c r="C296" s="14">
        <v>7</v>
      </c>
      <c r="D296" s="27">
        <v>0</v>
      </c>
      <c r="E296" s="14">
        <v>1</v>
      </c>
      <c r="F296" s="14">
        <v>1</v>
      </c>
      <c r="G296" s="14">
        <v>0</v>
      </c>
      <c r="H296" s="28">
        <v>1</v>
      </c>
      <c r="I296" s="14">
        <v>0</v>
      </c>
      <c r="J296" s="24">
        <v>4</v>
      </c>
    </row>
    <row r="297" spans="1:10" x14ac:dyDescent="0.35">
      <c r="A297" s="12">
        <v>8</v>
      </c>
      <c r="B297" s="14">
        <v>25</v>
      </c>
      <c r="C297" s="14">
        <v>8</v>
      </c>
      <c r="D297" s="27">
        <v>0</v>
      </c>
      <c r="E297" s="14">
        <v>0</v>
      </c>
      <c r="F297" s="14">
        <v>0</v>
      </c>
      <c r="G297" s="14">
        <v>0</v>
      </c>
      <c r="H297" s="28">
        <v>0</v>
      </c>
      <c r="I297" s="14">
        <v>0</v>
      </c>
      <c r="J297" s="24">
        <v>5</v>
      </c>
    </row>
    <row r="298" spans="1:10" x14ac:dyDescent="0.35">
      <c r="A298" s="12">
        <v>9</v>
      </c>
      <c r="B298" s="14">
        <v>25</v>
      </c>
      <c r="C298" s="14">
        <v>9</v>
      </c>
      <c r="D298" s="27">
        <v>1</v>
      </c>
      <c r="E298" s="14">
        <v>0</v>
      </c>
      <c r="F298" s="14">
        <v>0</v>
      </c>
      <c r="G298" s="14">
        <v>1</v>
      </c>
      <c r="H298" s="28">
        <v>0</v>
      </c>
      <c r="I298" s="14">
        <v>1</v>
      </c>
      <c r="J298" s="24">
        <v>2</v>
      </c>
    </row>
    <row r="299" spans="1:10" x14ac:dyDescent="0.35">
      <c r="A299" s="12">
        <v>10</v>
      </c>
      <c r="B299" s="14">
        <v>25</v>
      </c>
      <c r="C299" s="14">
        <v>10</v>
      </c>
      <c r="D299" s="27">
        <v>0</v>
      </c>
      <c r="E299" s="14">
        <v>0</v>
      </c>
      <c r="F299" s="14">
        <v>1</v>
      </c>
      <c r="G299" s="14">
        <v>1</v>
      </c>
      <c r="H299" s="28">
        <v>0</v>
      </c>
      <c r="I299" s="14">
        <v>1</v>
      </c>
      <c r="J299" s="24">
        <v>4</v>
      </c>
    </row>
    <row r="300" spans="1:10" x14ac:dyDescent="0.35">
      <c r="A300" s="12">
        <v>11</v>
      </c>
      <c r="B300" s="14">
        <v>25</v>
      </c>
      <c r="C300" s="14">
        <v>11</v>
      </c>
      <c r="D300" s="27">
        <v>0</v>
      </c>
      <c r="E300" s="14">
        <v>1</v>
      </c>
      <c r="F300" s="14">
        <v>0</v>
      </c>
      <c r="G300" s="14">
        <v>0</v>
      </c>
      <c r="H300" s="28">
        <v>0</v>
      </c>
      <c r="I300" s="14">
        <v>1</v>
      </c>
      <c r="J300" s="24">
        <v>2</v>
      </c>
    </row>
    <row r="301" spans="1:10" x14ac:dyDescent="0.35">
      <c r="A301" s="12">
        <v>12</v>
      </c>
      <c r="B301" s="14">
        <v>25</v>
      </c>
      <c r="C301" s="14">
        <v>12</v>
      </c>
      <c r="D301" s="27">
        <v>0</v>
      </c>
      <c r="E301" s="14">
        <v>1</v>
      </c>
      <c r="F301" s="14">
        <v>0</v>
      </c>
      <c r="G301" s="14">
        <v>1</v>
      </c>
      <c r="H301" s="28">
        <v>0</v>
      </c>
      <c r="I301" s="14">
        <v>0</v>
      </c>
      <c r="J301" s="24">
        <v>6</v>
      </c>
    </row>
    <row r="302" spans="1:10" x14ac:dyDescent="0.35">
      <c r="A302" s="12">
        <v>1</v>
      </c>
      <c r="B302" s="14">
        <v>26</v>
      </c>
      <c r="C302" s="14">
        <v>1</v>
      </c>
      <c r="D302" s="27">
        <v>1</v>
      </c>
      <c r="E302" s="14">
        <v>1</v>
      </c>
      <c r="F302" s="14">
        <v>0</v>
      </c>
      <c r="G302" s="14">
        <v>1</v>
      </c>
      <c r="H302" s="28">
        <v>1</v>
      </c>
      <c r="I302" s="14">
        <v>0</v>
      </c>
      <c r="J302" s="24">
        <v>5</v>
      </c>
    </row>
    <row r="303" spans="1:10" x14ac:dyDescent="0.35">
      <c r="A303" s="12">
        <v>2</v>
      </c>
      <c r="B303" s="14">
        <v>26</v>
      </c>
      <c r="C303" s="14">
        <v>2</v>
      </c>
      <c r="D303" s="27">
        <v>1</v>
      </c>
      <c r="E303" s="14">
        <v>1</v>
      </c>
      <c r="F303" s="14">
        <v>1</v>
      </c>
      <c r="G303" s="14">
        <v>0</v>
      </c>
      <c r="H303" s="28">
        <v>0</v>
      </c>
      <c r="I303" s="14">
        <v>1</v>
      </c>
      <c r="J303" s="24">
        <v>4</v>
      </c>
    </row>
    <row r="304" spans="1:10" x14ac:dyDescent="0.35">
      <c r="A304" s="12">
        <v>3</v>
      </c>
      <c r="B304" s="14">
        <v>26</v>
      </c>
      <c r="C304" s="14">
        <v>3</v>
      </c>
      <c r="D304" s="27">
        <v>0</v>
      </c>
      <c r="E304" s="14">
        <v>0</v>
      </c>
      <c r="F304" s="14">
        <v>1</v>
      </c>
      <c r="G304" s="14">
        <v>1</v>
      </c>
      <c r="H304" s="28">
        <v>1</v>
      </c>
      <c r="I304" s="14">
        <v>0</v>
      </c>
      <c r="J304" s="24">
        <v>3</v>
      </c>
    </row>
    <row r="305" spans="1:10" x14ac:dyDescent="0.35">
      <c r="A305" s="12">
        <v>4</v>
      </c>
      <c r="B305" s="14">
        <v>26</v>
      </c>
      <c r="C305" s="14">
        <v>4</v>
      </c>
      <c r="D305" s="27">
        <v>1</v>
      </c>
      <c r="E305" s="14">
        <v>1</v>
      </c>
      <c r="F305" s="14">
        <v>1</v>
      </c>
      <c r="G305" s="14">
        <v>1</v>
      </c>
      <c r="H305" s="28">
        <v>0</v>
      </c>
      <c r="I305" s="14">
        <v>0</v>
      </c>
      <c r="J305" s="24">
        <v>6</v>
      </c>
    </row>
    <row r="306" spans="1:10" x14ac:dyDescent="0.35">
      <c r="A306" s="12">
        <v>5</v>
      </c>
      <c r="B306" s="14">
        <v>26</v>
      </c>
      <c r="C306" s="14">
        <v>5</v>
      </c>
      <c r="D306" s="27">
        <v>1</v>
      </c>
      <c r="E306" s="14">
        <v>0</v>
      </c>
      <c r="F306" s="14">
        <v>1</v>
      </c>
      <c r="G306" s="14">
        <v>0</v>
      </c>
      <c r="H306" s="28">
        <v>0</v>
      </c>
      <c r="I306" s="14">
        <v>0</v>
      </c>
      <c r="J306" s="24">
        <v>5</v>
      </c>
    </row>
    <row r="307" spans="1:10" x14ac:dyDescent="0.35">
      <c r="A307" s="12">
        <v>6</v>
      </c>
      <c r="B307" s="14">
        <v>26</v>
      </c>
      <c r="C307" s="14">
        <v>6</v>
      </c>
      <c r="D307" s="27">
        <v>1</v>
      </c>
      <c r="E307" s="14">
        <v>0</v>
      </c>
      <c r="F307" s="14">
        <v>0</v>
      </c>
      <c r="G307" s="14">
        <v>0</v>
      </c>
      <c r="H307" s="28">
        <v>1</v>
      </c>
      <c r="I307" s="14">
        <v>0</v>
      </c>
      <c r="J307" s="24">
        <v>3</v>
      </c>
    </row>
    <row r="308" spans="1:10" x14ac:dyDescent="0.35">
      <c r="A308" s="12">
        <v>7</v>
      </c>
      <c r="B308" s="14">
        <v>26</v>
      </c>
      <c r="C308" s="14">
        <v>7</v>
      </c>
      <c r="D308" s="27">
        <v>0</v>
      </c>
      <c r="E308" s="14">
        <v>1</v>
      </c>
      <c r="F308" s="14">
        <v>1</v>
      </c>
      <c r="G308" s="14">
        <v>0</v>
      </c>
      <c r="H308" s="28">
        <v>1</v>
      </c>
      <c r="I308" s="14">
        <v>0</v>
      </c>
      <c r="J308" s="24">
        <v>5</v>
      </c>
    </row>
    <row r="309" spans="1:10" x14ac:dyDescent="0.35">
      <c r="A309" s="12">
        <v>8</v>
      </c>
      <c r="B309" s="14">
        <v>26</v>
      </c>
      <c r="C309" s="14">
        <v>8</v>
      </c>
      <c r="D309" s="27">
        <v>0</v>
      </c>
      <c r="E309" s="14">
        <v>0</v>
      </c>
      <c r="F309" s="14">
        <v>0</v>
      </c>
      <c r="G309" s="14">
        <v>0</v>
      </c>
      <c r="H309" s="28">
        <v>0</v>
      </c>
      <c r="I309" s="14">
        <v>0</v>
      </c>
      <c r="J309" s="24">
        <v>5</v>
      </c>
    </row>
    <row r="310" spans="1:10" x14ac:dyDescent="0.35">
      <c r="A310" s="12">
        <v>9</v>
      </c>
      <c r="B310" s="14">
        <v>26</v>
      </c>
      <c r="C310" s="14">
        <v>9</v>
      </c>
      <c r="D310" s="27">
        <v>1</v>
      </c>
      <c r="E310" s="14">
        <v>0</v>
      </c>
      <c r="F310" s="14">
        <v>0</v>
      </c>
      <c r="G310" s="14">
        <v>1</v>
      </c>
      <c r="H310" s="28">
        <v>0</v>
      </c>
      <c r="I310" s="14">
        <v>1</v>
      </c>
      <c r="J310" s="24">
        <v>2</v>
      </c>
    </row>
    <row r="311" spans="1:10" x14ac:dyDescent="0.35">
      <c r="A311" s="12">
        <v>10</v>
      </c>
      <c r="B311" s="14">
        <v>26</v>
      </c>
      <c r="C311" s="14">
        <v>10</v>
      </c>
      <c r="D311" s="27">
        <v>0</v>
      </c>
      <c r="E311" s="14">
        <v>0</v>
      </c>
      <c r="F311" s="14">
        <v>1</v>
      </c>
      <c r="G311" s="14">
        <v>1</v>
      </c>
      <c r="H311" s="28">
        <v>0</v>
      </c>
      <c r="I311" s="14">
        <v>1</v>
      </c>
      <c r="J311" s="24">
        <v>4</v>
      </c>
    </row>
    <row r="312" spans="1:10" x14ac:dyDescent="0.35">
      <c r="A312" s="12">
        <v>11</v>
      </c>
      <c r="B312" s="14">
        <v>26</v>
      </c>
      <c r="C312" s="14">
        <v>11</v>
      </c>
      <c r="D312" s="27">
        <v>0</v>
      </c>
      <c r="E312" s="14">
        <v>1</v>
      </c>
      <c r="F312" s="14">
        <v>0</v>
      </c>
      <c r="G312" s="14">
        <v>0</v>
      </c>
      <c r="H312" s="28">
        <v>0</v>
      </c>
      <c r="I312" s="14">
        <v>1</v>
      </c>
      <c r="J312" s="24">
        <v>3</v>
      </c>
    </row>
    <row r="313" spans="1:10" x14ac:dyDescent="0.35">
      <c r="A313" s="12">
        <v>12</v>
      </c>
      <c r="B313" s="14">
        <v>26</v>
      </c>
      <c r="C313" s="14">
        <v>12</v>
      </c>
      <c r="D313" s="27">
        <v>0</v>
      </c>
      <c r="E313" s="14">
        <v>1</v>
      </c>
      <c r="F313" s="14">
        <v>0</v>
      </c>
      <c r="G313" s="14">
        <v>1</v>
      </c>
      <c r="H313" s="28">
        <v>0</v>
      </c>
      <c r="I313" s="14">
        <v>0</v>
      </c>
      <c r="J313" s="24">
        <v>7</v>
      </c>
    </row>
    <row r="314" spans="1:10" x14ac:dyDescent="0.35">
      <c r="A314" s="12">
        <v>1</v>
      </c>
      <c r="B314" s="14">
        <v>27</v>
      </c>
      <c r="C314" s="14">
        <v>1</v>
      </c>
      <c r="D314" s="27">
        <v>1</v>
      </c>
      <c r="E314" s="14">
        <v>1</v>
      </c>
      <c r="F314" s="14">
        <v>0</v>
      </c>
      <c r="G314" s="14">
        <v>1</v>
      </c>
      <c r="H314" s="28">
        <v>1</v>
      </c>
      <c r="I314" s="14">
        <v>0</v>
      </c>
      <c r="J314" s="24">
        <v>6</v>
      </c>
    </row>
    <row r="315" spans="1:10" x14ac:dyDescent="0.35">
      <c r="A315" s="12">
        <v>2</v>
      </c>
      <c r="B315" s="14">
        <v>27</v>
      </c>
      <c r="C315" s="14">
        <v>2</v>
      </c>
      <c r="D315" s="27">
        <v>1</v>
      </c>
      <c r="E315" s="14">
        <v>1</v>
      </c>
      <c r="F315" s="14">
        <v>1</v>
      </c>
      <c r="G315" s="14">
        <v>0</v>
      </c>
      <c r="H315" s="28">
        <v>0</v>
      </c>
      <c r="I315" s="14">
        <v>1</v>
      </c>
      <c r="J315" s="24">
        <v>3</v>
      </c>
    </row>
    <row r="316" spans="1:10" x14ac:dyDescent="0.35">
      <c r="A316" s="12">
        <v>3</v>
      </c>
      <c r="B316" s="14">
        <v>27</v>
      </c>
      <c r="C316" s="14">
        <v>3</v>
      </c>
      <c r="D316" s="27">
        <v>0</v>
      </c>
      <c r="E316" s="14">
        <v>0</v>
      </c>
      <c r="F316" s="14">
        <v>1</v>
      </c>
      <c r="G316" s="14">
        <v>1</v>
      </c>
      <c r="H316" s="28">
        <v>1</v>
      </c>
      <c r="I316" s="14">
        <v>0</v>
      </c>
      <c r="J316" s="24">
        <v>4</v>
      </c>
    </row>
    <row r="317" spans="1:10" x14ac:dyDescent="0.35">
      <c r="A317" s="12">
        <v>4</v>
      </c>
      <c r="B317" s="14">
        <v>27</v>
      </c>
      <c r="C317" s="14">
        <v>4</v>
      </c>
      <c r="D317" s="27">
        <v>1</v>
      </c>
      <c r="E317" s="14">
        <v>1</v>
      </c>
      <c r="F317" s="14">
        <v>1</v>
      </c>
      <c r="G317" s="14">
        <v>1</v>
      </c>
      <c r="H317" s="28">
        <v>0</v>
      </c>
      <c r="I317" s="14">
        <v>0</v>
      </c>
      <c r="J317" s="24">
        <v>7</v>
      </c>
    </row>
    <row r="318" spans="1:10" x14ac:dyDescent="0.35">
      <c r="A318" s="12">
        <v>5</v>
      </c>
      <c r="B318" s="14">
        <v>27</v>
      </c>
      <c r="C318" s="14">
        <v>5</v>
      </c>
      <c r="D318" s="27">
        <v>1</v>
      </c>
      <c r="E318" s="14">
        <v>0</v>
      </c>
      <c r="F318" s="14">
        <v>1</v>
      </c>
      <c r="G318" s="14">
        <v>0</v>
      </c>
      <c r="H318" s="28">
        <v>0</v>
      </c>
      <c r="I318" s="14">
        <v>0</v>
      </c>
      <c r="J318" s="24">
        <v>5</v>
      </c>
    </row>
    <row r="319" spans="1:10" x14ac:dyDescent="0.35">
      <c r="A319" s="12">
        <v>6</v>
      </c>
      <c r="B319" s="14">
        <v>27</v>
      </c>
      <c r="C319" s="14">
        <v>6</v>
      </c>
      <c r="D319" s="27">
        <v>1</v>
      </c>
      <c r="E319" s="14">
        <v>0</v>
      </c>
      <c r="F319" s="14">
        <v>0</v>
      </c>
      <c r="G319" s="14">
        <v>0</v>
      </c>
      <c r="H319" s="28">
        <v>1</v>
      </c>
      <c r="I319" s="14">
        <v>0</v>
      </c>
      <c r="J319" s="24">
        <v>3</v>
      </c>
    </row>
    <row r="320" spans="1:10" x14ac:dyDescent="0.35">
      <c r="A320" s="12">
        <v>7</v>
      </c>
      <c r="B320" s="14">
        <v>27</v>
      </c>
      <c r="C320" s="14">
        <v>7</v>
      </c>
      <c r="D320" s="27">
        <v>0</v>
      </c>
      <c r="E320" s="14">
        <v>1</v>
      </c>
      <c r="F320" s="14">
        <v>1</v>
      </c>
      <c r="G320" s="14">
        <v>0</v>
      </c>
      <c r="H320" s="28">
        <v>1</v>
      </c>
      <c r="I320" s="14">
        <v>0</v>
      </c>
      <c r="J320" s="24">
        <v>4</v>
      </c>
    </row>
    <row r="321" spans="1:10" x14ac:dyDescent="0.35">
      <c r="A321" s="12">
        <v>8</v>
      </c>
      <c r="B321" s="14">
        <v>27</v>
      </c>
      <c r="C321" s="14">
        <v>8</v>
      </c>
      <c r="D321" s="27">
        <v>0</v>
      </c>
      <c r="E321" s="14">
        <v>0</v>
      </c>
      <c r="F321" s="14">
        <v>0</v>
      </c>
      <c r="G321" s="14">
        <v>0</v>
      </c>
      <c r="H321" s="28">
        <v>0</v>
      </c>
      <c r="I321" s="14">
        <v>0</v>
      </c>
      <c r="J321" s="24">
        <v>5</v>
      </c>
    </row>
    <row r="322" spans="1:10" x14ac:dyDescent="0.35">
      <c r="A322" s="12">
        <v>9</v>
      </c>
      <c r="B322" s="14">
        <v>27</v>
      </c>
      <c r="C322" s="14">
        <v>9</v>
      </c>
      <c r="D322" s="27">
        <v>1</v>
      </c>
      <c r="E322" s="14">
        <v>0</v>
      </c>
      <c r="F322" s="14">
        <v>0</v>
      </c>
      <c r="G322" s="14">
        <v>1</v>
      </c>
      <c r="H322" s="28">
        <v>0</v>
      </c>
      <c r="I322" s="14">
        <v>1</v>
      </c>
      <c r="J322" s="24">
        <v>2</v>
      </c>
    </row>
    <row r="323" spans="1:10" x14ac:dyDescent="0.35">
      <c r="A323" s="12">
        <v>10</v>
      </c>
      <c r="B323" s="14">
        <v>27</v>
      </c>
      <c r="C323" s="14">
        <v>10</v>
      </c>
      <c r="D323" s="27">
        <v>0</v>
      </c>
      <c r="E323" s="14">
        <v>0</v>
      </c>
      <c r="F323" s="14">
        <v>1</v>
      </c>
      <c r="G323" s="14">
        <v>1</v>
      </c>
      <c r="H323" s="28">
        <v>0</v>
      </c>
      <c r="I323" s="14">
        <v>1</v>
      </c>
      <c r="J323" s="24">
        <v>4</v>
      </c>
    </row>
    <row r="324" spans="1:10" x14ac:dyDescent="0.35">
      <c r="A324" s="12">
        <v>11</v>
      </c>
      <c r="B324" s="14">
        <v>27</v>
      </c>
      <c r="C324" s="14">
        <v>11</v>
      </c>
      <c r="D324" s="27">
        <v>0</v>
      </c>
      <c r="E324" s="14">
        <v>1</v>
      </c>
      <c r="F324" s="14">
        <v>0</v>
      </c>
      <c r="G324" s="14">
        <v>0</v>
      </c>
      <c r="H324" s="28">
        <v>0</v>
      </c>
      <c r="I324" s="14">
        <v>1</v>
      </c>
      <c r="J324" s="24">
        <v>2</v>
      </c>
    </row>
    <row r="325" spans="1:10" x14ac:dyDescent="0.35">
      <c r="A325" s="12">
        <v>12</v>
      </c>
      <c r="B325" s="14">
        <v>27</v>
      </c>
      <c r="C325" s="14">
        <v>12</v>
      </c>
      <c r="D325" s="27">
        <v>0</v>
      </c>
      <c r="E325" s="14">
        <v>1</v>
      </c>
      <c r="F325" s="14">
        <v>0</v>
      </c>
      <c r="G325" s="14">
        <v>1</v>
      </c>
      <c r="H325" s="28">
        <v>0</v>
      </c>
      <c r="I325" s="14">
        <v>0</v>
      </c>
      <c r="J325" s="24">
        <v>6</v>
      </c>
    </row>
    <row r="326" spans="1:10" x14ac:dyDescent="0.35">
      <c r="A326" s="12">
        <v>1</v>
      </c>
      <c r="B326" s="14">
        <v>28</v>
      </c>
      <c r="C326" s="14">
        <v>1</v>
      </c>
      <c r="D326" s="27">
        <v>1</v>
      </c>
      <c r="E326" s="14">
        <v>1</v>
      </c>
      <c r="F326" s="14">
        <v>0</v>
      </c>
      <c r="G326" s="14">
        <v>1</v>
      </c>
      <c r="H326" s="28">
        <v>1</v>
      </c>
      <c r="I326" s="14">
        <v>0</v>
      </c>
      <c r="J326" s="24">
        <v>5</v>
      </c>
    </row>
    <row r="327" spans="1:10" x14ac:dyDescent="0.35">
      <c r="A327" s="12">
        <v>2</v>
      </c>
      <c r="B327" s="14">
        <v>28</v>
      </c>
      <c r="C327" s="14">
        <v>2</v>
      </c>
      <c r="D327" s="27">
        <v>1</v>
      </c>
      <c r="E327" s="14">
        <v>1</v>
      </c>
      <c r="F327" s="14">
        <v>1</v>
      </c>
      <c r="G327" s="14">
        <v>0</v>
      </c>
      <c r="H327" s="28">
        <v>0</v>
      </c>
      <c r="I327" s="14">
        <v>1</v>
      </c>
      <c r="J327" s="24">
        <v>3</v>
      </c>
    </row>
    <row r="328" spans="1:10" x14ac:dyDescent="0.35">
      <c r="A328" s="12">
        <v>3</v>
      </c>
      <c r="B328" s="14">
        <v>28</v>
      </c>
      <c r="C328" s="14">
        <v>3</v>
      </c>
      <c r="D328" s="27">
        <v>0</v>
      </c>
      <c r="E328" s="14">
        <v>0</v>
      </c>
      <c r="F328" s="14">
        <v>1</v>
      </c>
      <c r="G328" s="14">
        <v>1</v>
      </c>
      <c r="H328" s="28">
        <v>1</v>
      </c>
      <c r="I328" s="14">
        <v>0</v>
      </c>
      <c r="J328" s="24">
        <v>4</v>
      </c>
    </row>
    <row r="329" spans="1:10" x14ac:dyDescent="0.35">
      <c r="A329" s="12">
        <v>4</v>
      </c>
      <c r="B329" s="14">
        <v>28</v>
      </c>
      <c r="C329" s="14">
        <v>4</v>
      </c>
      <c r="D329" s="27">
        <v>1</v>
      </c>
      <c r="E329" s="14">
        <v>1</v>
      </c>
      <c r="F329" s="14">
        <v>1</v>
      </c>
      <c r="G329" s="14">
        <v>1</v>
      </c>
      <c r="H329" s="28">
        <v>0</v>
      </c>
      <c r="I329" s="14">
        <v>0</v>
      </c>
      <c r="J329" s="24">
        <v>6</v>
      </c>
    </row>
    <row r="330" spans="1:10" x14ac:dyDescent="0.35">
      <c r="A330" s="12">
        <v>5</v>
      </c>
      <c r="B330" s="14">
        <v>28</v>
      </c>
      <c r="C330" s="14">
        <v>5</v>
      </c>
      <c r="D330" s="27">
        <v>1</v>
      </c>
      <c r="E330" s="14">
        <v>0</v>
      </c>
      <c r="F330" s="14">
        <v>1</v>
      </c>
      <c r="G330" s="14">
        <v>0</v>
      </c>
      <c r="H330" s="28">
        <v>0</v>
      </c>
      <c r="I330" s="14">
        <v>0</v>
      </c>
      <c r="J330" s="24">
        <v>4</v>
      </c>
    </row>
    <row r="331" spans="1:10" x14ac:dyDescent="0.35">
      <c r="A331" s="12">
        <v>6</v>
      </c>
      <c r="B331" s="14">
        <v>28</v>
      </c>
      <c r="C331" s="14">
        <v>6</v>
      </c>
      <c r="D331" s="27">
        <v>1</v>
      </c>
      <c r="E331" s="14">
        <v>0</v>
      </c>
      <c r="F331" s="14">
        <v>0</v>
      </c>
      <c r="G331" s="14">
        <v>0</v>
      </c>
      <c r="H331" s="28">
        <v>1</v>
      </c>
      <c r="I331" s="14">
        <v>0</v>
      </c>
      <c r="J331" s="24">
        <v>3</v>
      </c>
    </row>
    <row r="332" spans="1:10" x14ac:dyDescent="0.35">
      <c r="A332" s="12">
        <v>7</v>
      </c>
      <c r="B332" s="14">
        <v>28</v>
      </c>
      <c r="C332" s="14">
        <v>7</v>
      </c>
      <c r="D332" s="27">
        <v>0</v>
      </c>
      <c r="E332" s="14">
        <v>1</v>
      </c>
      <c r="F332" s="14">
        <v>1</v>
      </c>
      <c r="G332" s="14">
        <v>0</v>
      </c>
      <c r="H332" s="28">
        <v>1</v>
      </c>
      <c r="I332" s="14">
        <v>0</v>
      </c>
      <c r="J332" s="24">
        <v>4</v>
      </c>
    </row>
    <row r="333" spans="1:10" x14ac:dyDescent="0.35">
      <c r="A333" s="12">
        <v>8</v>
      </c>
      <c r="B333" s="14">
        <v>28</v>
      </c>
      <c r="C333" s="14">
        <v>8</v>
      </c>
      <c r="D333" s="27">
        <v>0</v>
      </c>
      <c r="E333" s="14">
        <v>0</v>
      </c>
      <c r="F333" s="14">
        <v>0</v>
      </c>
      <c r="G333" s="14">
        <v>0</v>
      </c>
      <c r="H333" s="28">
        <v>0</v>
      </c>
      <c r="I333" s="14">
        <v>0</v>
      </c>
      <c r="J333" s="24">
        <v>5</v>
      </c>
    </row>
    <row r="334" spans="1:10" x14ac:dyDescent="0.35">
      <c r="A334" s="12">
        <v>9</v>
      </c>
      <c r="B334" s="14">
        <v>28</v>
      </c>
      <c r="C334" s="14">
        <v>9</v>
      </c>
      <c r="D334" s="27">
        <v>1</v>
      </c>
      <c r="E334" s="14">
        <v>0</v>
      </c>
      <c r="F334" s="14">
        <v>0</v>
      </c>
      <c r="G334" s="14">
        <v>1</v>
      </c>
      <c r="H334" s="28">
        <v>0</v>
      </c>
      <c r="I334" s="14">
        <v>1</v>
      </c>
      <c r="J334" s="24">
        <v>3</v>
      </c>
    </row>
    <row r="335" spans="1:10" x14ac:dyDescent="0.35">
      <c r="A335" s="12">
        <v>10</v>
      </c>
      <c r="B335" s="14">
        <v>28</v>
      </c>
      <c r="C335" s="14">
        <v>10</v>
      </c>
      <c r="D335" s="27">
        <v>0</v>
      </c>
      <c r="E335" s="14">
        <v>0</v>
      </c>
      <c r="F335" s="14">
        <v>1</v>
      </c>
      <c r="G335" s="14">
        <v>1</v>
      </c>
      <c r="H335" s="28">
        <v>0</v>
      </c>
      <c r="I335" s="14">
        <v>1</v>
      </c>
      <c r="J335" s="24">
        <v>4</v>
      </c>
    </row>
    <row r="336" spans="1:10" x14ac:dyDescent="0.35">
      <c r="A336" s="12">
        <v>11</v>
      </c>
      <c r="B336" s="14">
        <v>28</v>
      </c>
      <c r="C336" s="14">
        <v>11</v>
      </c>
      <c r="D336" s="27">
        <v>0</v>
      </c>
      <c r="E336" s="14">
        <v>1</v>
      </c>
      <c r="F336" s="14">
        <v>0</v>
      </c>
      <c r="G336" s="14">
        <v>0</v>
      </c>
      <c r="H336" s="28">
        <v>0</v>
      </c>
      <c r="I336" s="14">
        <v>1</v>
      </c>
      <c r="J336" s="24">
        <v>3</v>
      </c>
    </row>
    <row r="337" spans="1:10" x14ac:dyDescent="0.35">
      <c r="A337" s="12">
        <v>12</v>
      </c>
      <c r="B337" s="14">
        <v>28</v>
      </c>
      <c r="C337" s="14">
        <v>12</v>
      </c>
      <c r="D337" s="27">
        <v>0</v>
      </c>
      <c r="E337" s="14">
        <v>1</v>
      </c>
      <c r="F337" s="14">
        <v>0</v>
      </c>
      <c r="G337" s="14">
        <v>1</v>
      </c>
      <c r="H337" s="28">
        <v>0</v>
      </c>
      <c r="I337" s="14">
        <v>0</v>
      </c>
      <c r="J337" s="24">
        <v>7</v>
      </c>
    </row>
    <row r="338" spans="1:10" x14ac:dyDescent="0.35">
      <c r="A338" s="12">
        <v>1</v>
      </c>
      <c r="B338" s="14">
        <v>29</v>
      </c>
      <c r="C338" s="14">
        <v>1</v>
      </c>
      <c r="D338" s="27">
        <v>1</v>
      </c>
      <c r="E338" s="14">
        <v>1</v>
      </c>
      <c r="F338" s="14">
        <v>0</v>
      </c>
      <c r="G338" s="14">
        <v>1</v>
      </c>
      <c r="H338" s="28">
        <v>1</v>
      </c>
      <c r="I338" s="14">
        <v>0</v>
      </c>
      <c r="J338" s="24">
        <v>6</v>
      </c>
    </row>
    <row r="339" spans="1:10" x14ac:dyDescent="0.35">
      <c r="A339" s="12">
        <v>2</v>
      </c>
      <c r="B339" s="14">
        <v>29</v>
      </c>
      <c r="C339" s="14">
        <v>2</v>
      </c>
      <c r="D339" s="27">
        <v>1</v>
      </c>
      <c r="E339" s="14">
        <v>1</v>
      </c>
      <c r="F339" s="14">
        <v>1</v>
      </c>
      <c r="G339" s="14">
        <v>0</v>
      </c>
      <c r="H339" s="28">
        <v>0</v>
      </c>
      <c r="I339" s="14">
        <v>1</v>
      </c>
      <c r="J339" s="24">
        <v>3</v>
      </c>
    </row>
    <row r="340" spans="1:10" x14ac:dyDescent="0.35">
      <c r="A340" s="12">
        <v>3</v>
      </c>
      <c r="B340" s="14">
        <v>29</v>
      </c>
      <c r="C340" s="14">
        <v>3</v>
      </c>
      <c r="D340" s="27">
        <v>0</v>
      </c>
      <c r="E340" s="14">
        <v>0</v>
      </c>
      <c r="F340" s="14">
        <v>1</v>
      </c>
      <c r="G340" s="14">
        <v>1</v>
      </c>
      <c r="H340" s="28">
        <v>1</v>
      </c>
      <c r="I340" s="14">
        <v>0</v>
      </c>
      <c r="J340" s="24">
        <v>3</v>
      </c>
    </row>
    <row r="341" spans="1:10" x14ac:dyDescent="0.35">
      <c r="A341" s="12">
        <v>4</v>
      </c>
      <c r="B341" s="14">
        <v>29</v>
      </c>
      <c r="C341" s="14">
        <v>4</v>
      </c>
      <c r="D341" s="27">
        <v>1</v>
      </c>
      <c r="E341" s="14">
        <v>1</v>
      </c>
      <c r="F341" s="14">
        <v>1</v>
      </c>
      <c r="G341" s="14">
        <v>1</v>
      </c>
      <c r="H341" s="28">
        <v>0</v>
      </c>
      <c r="I341" s="14">
        <v>0</v>
      </c>
      <c r="J341" s="24">
        <v>7</v>
      </c>
    </row>
    <row r="342" spans="1:10" x14ac:dyDescent="0.35">
      <c r="A342" s="12">
        <v>5</v>
      </c>
      <c r="B342" s="14">
        <v>29</v>
      </c>
      <c r="C342" s="14">
        <v>5</v>
      </c>
      <c r="D342" s="27">
        <v>1</v>
      </c>
      <c r="E342" s="14">
        <v>0</v>
      </c>
      <c r="F342" s="14">
        <v>1</v>
      </c>
      <c r="G342" s="14">
        <v>0</v>
      </c>
      <c r="H342" s="28">
        <v>0</v>
      </c>
      <c r="I342" s="14">
        <v>0</v>
      </c>
      <c r="J342" s="24">
        <v>5</v>
      </c>
    </row>
    <row r="343" spans="1:10" x14ac:dyDescent="0.35">
      <c r="A343" s="12">
        <v>6</v>
      </c>
      <c r="B343" s="14">
        <v>29</v>
      </c>
      <c r="C343" s="14">
        <v>6</v>
      </c>
      <c r="D343" s="27">
        <v>1</v>
      </c>
      <c r="E343" s="14">
        <v>0</v>
      </c>
      <c r="F343" s="14">
        <v>0</v>
      </c>
      <c r="G343" s="14">
        <v>0</v>
      </c>
      <c r="H343" s="28">
        <v>1</v>
      </c>
      <c r="I343" s="14">
        <v>0</v>
      </c>
      <c r="J343" s="24">
        <v>3</v>
      </c>
    </row>
    <row r="344" spans="1:10" x14ac:dyDescent="0.35">
      <c r="A344" s="12">
        <v>7</v>
      </c>
      <c r="B344" s="14">
        <v>29</v>
      </c>
      <c r="C344" s="14">
        <v>7</v>
      </c>
      <c r="D344" s="27">
        <v>0</v>
      </c>
      <c r="E344" s="14">
        <v>1</v>
      </c>
      <c r="F344" s="14">
        <v>1</v>
      </c>
      <c r="G344" s="14">
        <v>0</v>
      </c>
      <c r="H344" s="28">
        <v>1</v>
      </c>
      <c r="I344" s="14">
        <v>0</v>
      </c>
      <c r="J344" s="24">
        <v>4</v>
      </c>
    </row>
    <row r="345" spans="1:10" x14ac:dyDescent="0.35">
      <c r="A345" s="12">
        <v>8</v>
      </c>
      <c r="B345" s="14">
        <v>29</v>
      </c>
      <c r="C345" s="14">
        <v>8</v>
      </c>
      <c r="D345" s="27">
        <v>0</v>
      </c>
      <c r="E345" s="14">
        <v>0</v>
      </c>
      <c r="F345" s="14">
        <v>0</v>
      </c>
      <c r="G345" s="14">
        <v>0</v>
      </c>
      <c r="H345" s="28">
        <v>0</v>
      </c>
      <c r="I345" s="14">
        <v>0</v>
      </c>
      <c r="J345" s="24">
        <v>5</v>
      </c>
    </row>
    <row r="346" spans="1:10" x14ac:dyDescent="0.35">
      <c r="A346" s="12">
        <v>9</v>
      </c>
      <c r="B346" s="14">
        <v>29</v>
      </c>
      <c r="C346" s="14">
        <v>9</v>
      </c>
      <c r="D346" s="27">
        <v>1</v>
      </c>
      <c r="E346" s="14">
        <v>0</v>
      </c>
      <c r="F346" s="14">
        <v>0</v>
      </c>
      <c r="G346" s="14">
        <v>1</v>
      </c>
      <c r="H346" s="28">
        <v>0</v>
      </c>
      <c r="I346" s="14">
        <v>1</v>
      </c>
      <c r="J346" s="24">
        <v>2</v>
      </c>
    </row>
    <row r="347" spans="1:10" x14ac:dyDescent="0.35">
      <c r="A347" s="12">
        <v>10</v>
      </c>
      <c r="B347" s="14">
        <v>29</v>
      </c>
      <c r="C347" s="14">
        <v>10</v>
      </c>
      <c r="D347" s="27">
        <v>0</v>
      </c>
      <c r="E347" s="14">
        <v>0</v>
      </c>
      <c r="F347" s="14">
        <v>1</v>
      </c>
      <c r="G347" s="14">
        <v>1</v>
      </c>
      <c r="H347" s="28">
        <v>0</v>
      </c>
      <c r="I347" s="14">
        <v>1</v>
      </c>
      <c r="J347" s="24">
        <v>3</v>
      </c>
    </row>
    <row r="348" spans="1:10" x14ac:dyDescent="0.35">
      <c r="A348" s="12">
        <v>11</v>
      </c>
      <c r="B348" s="14">
        <v>29</v>
      </c>
      <c r="C348" s="14">
        <v>11</v>
      </c>
      <c r="D348" s="27">
        <v>0</v>
      </c>
      <c r="E348" s="14">
        <v>1</v>
      </c>
      <c r="F348" s="14">
        <v>0</v>
      </c>
      <c r="G348" s="14">
        <v>0</v>
      </c>
      <c r="H348" s="28">
        <v>0</v>
      </c>
      <c r="I348" s="14">
        <v>1</v>
      </c>
      <c r="J348" s="24">
        <v>2</v>
      </c>
    </row>
    <row r="349" spans="1:10" x14ac:dyDescent="0.35">
      <c r="A349" s="12">
        <v>12</v>
      </c>
      <c r="B349" s="14">
        <v>29</v>
      </c>
      <c r="C349" s="14">
        <v>12</v>
      </c>
      <c r="D349" s="27">
        <v>0</v>
      </c>
      <c r="E349" s="14">
        <v>1</v>
      </c>
      <c r="F349" s="14">
        <v>0</v>
      </c>
      <c r="G349" s="14">
        <v>1</v>
      </c>
      <c r="H349" s="28">
        <v>0</v>
      </c>
      <c r="I349" s="14">
        <v>0</v>
      </c>
      <c r="J349" s="24">
        <v>6</v>
      </c>
    </row>
    <row r="350" spans="1:10" x14ac:dyDescent="0.35">
      <c r="A350" s="12">
        <v>1</v>
      </c>
      <c r="B350" s="14">
        <v>30</v>
      </c>
      <c r="C350" s="14">
        <v>1</v>
      </c>
      <c r="D350" s="27">
        <v>1</v>
      </c>
      <c r="E350" s="14">
        <v>1</v>
      </c>
      <c r="F350" s="14">
        <v>0</v>
      </c>
      <c r="G350" s="14">
        <v>1</v>
      </c>
      <c r="H350" s="28">
        <v>1</v>
      </c>
      <c r="I350" s="14">
        <v>0</v>
      </c>
      <c r="J350" s="24">
        <v>5</v>
      </c>
    </row>
    <row r="351" spans="1:10" x14ac:dyDescent="0.35">
      <c r="A351" s="12">
        <v>2</v>
      </c>
      <c r="B351" s="14">
        <v>30</v>
      </c>
      <c r="C351" s="14">
        <v>2</v>
      </c>
      <c r="D351" s="27">
        <v>1</v>
      </c>
      <c r="E351" s="14">
        <v>1</v>
      </c>
      <c r="F351" s="14">
        <v>1</v>
      </c>
      <c r="G351" s="14">
        <v>0</v>
      </c>
      <c r="H351" s="28">
        <v>0</v>
      </c>
      <c r="I351" s="14">
        <v>1</v>
      </c>
      <c r="J351" s="24">
        <v>3</v>
      </c>
    </row>
    <row r="352" spans="1:10" x14ac:dyDescent="0.35">
      <c r="A352" s="12">
        <v>3</v>
      </c>
      <c r="B352" s="14">
        <v>30</v>
      </c>
      <c r="C352" s="14">
        <v>3</v>
      </c>
      <c r="D352" s="27">
        <v>0</v>
      </c>
      <c r="E352" s="14">
        <v>0</v>
      </c>
      <c r="F352" s="14">
        <v>1</v>
      </c>
      <c r="G352" s="14">
        <v>1</v>
      </c>
      <c r="H352" s="28">
        <v>1</v>
      </c>
      <c r="I352" s="14">
        <v>0</v>
      </c>
      <c r="J352" s="24">
        <v>4</v>
      </c>
    </row>
    <row r="353" spans="1:10" x14ac:dyDescent="0.35">
      <c r="A353" s="12">
        <v>4</v>
      </c>
      <c r="B353" s="14">
        <v>30</v>
      </c>
      <c r="C353" s="14">
        <v>4</v>
      </c>
      <c r="D353" s="27">
        <v>1</v>
      </c>
      <c r="E353" s="14">
        <v>1</v>
      </c>
      <c r="F353" s="14">
        <v>1</v>
      </c>
      <c r="G353" s="14">
        <v>1</v>
      </c>
      <c r="H353" s="28">
        <v>0</v>
      </c>
      <c r="I353" s="14">
        <v>0</v>
      </c>
      <c r="J353" s="24">
        <v>6</v>
      </c>
    </row>
    <row r="354" spans="1:10" x14ac:dyDescent="0.35">
      <c r="A354" s="12">
        <v>5</v>
      </c>
      <c r="B354" s="14">
        <v>30</v>
      </c>
      <c r="C354" s="14">
        <v>5</v>
      </c>
      <c r="D354" s="27">
        <v>1</v>
      </c>
      <c r="E354" s="14">
        <v>0</v>
      </c>
      <c r="F354" s="14">
        <v>1</v>
      </c>
      <c r="G354" s="14">
        <v>0</v>
      </c>
      <c r="H354" s="28">
        <v>0</v>
      </c>
      <c r="I354" s="14">
        <v>0</v>
      </c>
      <c r="J354" s="24">
        <v>5</v>
      </c>
    </row>
    <row r="355" spans="1:10" x14ac:dyDescent="0.35">
      <c r="A355" s="12">
        <v>6</v>
      </c>
      <c r="B355" s="14">
        <v>30</v>
      </c>
      <c r="C355" s="14">
        <v>6</v>
      </c>
      <c r="D355" s="27">
        <v>1</v>
      </c>
      <c r="E355" s="14">
        <v>0</v>
      </c>
      <c r="F355" s="14">
        <v>0</v>
      </c>
      <c r="G355" s="14">
        <v>0</v>
      </c>
      <c r="H355" s="28">
        <v>1</v>
      </c>
      <c r="I355" s="14">
        <v>0</v>
      </c>
      <c r="J355" s="24">
        <v>3</v>
      </c>
    </row>
    <row r="356" spans="1:10" x14ac:dyDescent="0.35">
      <c r="A356" s="12">
        <v>7</v>
      </c>
      <c r="B356" s="14">
        <v>30</v>
      </c>
      <c r="C356" s="14">
        <v>7</v>
      </c>
      <c r="D356" s="27">
        <v>0</v>
      </c>
      <c r="E356" s="14">
        <v>1</v>
      </c>
      <c r="F356" s="14">
        <v>1</v>
      </c>
      <c r="G356" s="14">
        <v>0</v>
      </c>
      <c r="H356" s="28">
        <v>1</v>
      </c>
      <c r="I356" s="14">
        <v>0</v>
      </c>
      <c r="J356" s="24">
        <v>4</v>
      </c>
    </row>
    <row r="357" spans="1:10" x14ac:dyDescent="0.35">
      <c r="A357" s="12">
        <v>8</v>
      </c>
      <c r="B357" s="14">
        <v>30</v>
      </c>
      <c r="C357" s="14">
        <v>8</v>
      </c>
      <c r="D357" s="27">
        <v>0</v>
      </c>
      <c r="E357" s="14">
        <v>0</v>
      </c>
      <c r="F357" s="14">
        <v>0</v>
      </c>
      <c r="G357" s="14">
        <v>0</v>
      </c>
      <c r="H357" s="28">
        <v>0</v>
      </c>
      <c r="I357" s="14">
        <v>0</v>
      </c>
      <c r="J357" s="24">
        <v>4</v>
      </c>
    </row>
    <row r="358" spans="1:10" x14ac:dyDescent="0.35">
      <c r="A358" s="12">
        <v>9</v>
      </c>
      <c r="B358" s="14">
        <v>30</v>
      </c>
      <c r="C358" s="14">
        <v>9</v>
      </c>
      <c r="D358" s="27">
        <v>1</v>
      </c>
      <c r="E358" s="14">
        <v>0</v>
      </c>
      <c r="F358" s="14">
        <v>0</v>
      </c>
      <c r="G358" s="14">
        <v>1</v>
      </c>
      <c r="H358" s="28">
        <v>0</v>
      </c>
      <c r="I358" s="14">
        <v>1</v>
      </c>
      <c r="J358" s="24">
        <v>3</v>
      </c>
    </row>
    <row r="359" spans="1:10" x14ac:dyDescent="0.35">
      <c r="A359" s="12">
        <v>10</v>
      </c>
      <c r="B359" s="14">
        <v>30</v>
      </c>
      <c r="C359" s="14">
        <v>10</v>
      </c>
      <c r="D359" s="27">
        <v>0</v>
      </c>
      <c r="E359" s="14">
        <v>0</v>
      </c>
      <c r="F359" s="14">
        <v>1</v>
      </c>
      <c r="G359" s="14">
        <v>1</v>
      </c>
      <c r="H359" s="28">
        <v>0</v>
      </c>
      <c r="I359" s="14">
        <v>1</v>
      </c>
      <c r="J359" s="24">
        <v>4</v>
      </c>
    </row>
    <row r="360" spans="1:10" x14ac:dyDescent="0.35">
      <c r="A360" s="12">
        <v>11</v>
      </c>
      <c r="B360" s="14">
        <v>30</v>
      </c>
      <c r="C360" s="14">
        <v>11</v>
      </c>
      <c r="D360" s="27">
        <v>0</v>
      </c>
      <c r="E360" s="14">
        <v>1</v>
      </c>
      <c r="F360" s="14">
        <v>0</v>
      </c>
      <c r="G360" s="14">
        <v>0</v>
      </c>
      <c r="H360" s="28">
        <v>0</v>
      </c>
      <c r="I360" s="14">
        <v>1</v>
      </c>
      <c r="J360" s="24">
        <v>3</v>
      </c>
    </row>
    <row r="361" spans="1:10" x14ac:dyDescent="0.35">
      <c r="A361" s="12">
        <v>12</v>
      </c>
      <c r="B361" s="14">
        <v>30</v>
      </c>
      <c r="C361" s="14">
        <v>12</v>
      </c>
      <c r="D361" s="27">
        <v>0</v>
      </c>
      <c r="E361" s="14">
        <v>1</v>
      </c>
      <c r="F361" s="14">
        <v>0</v>
      </c>
      <c r="G361" s="14">
        <v>1</v>
      </c>
      <c r="H361" s="28">
        <v>0</v>
      </c>
      <c r="I361" s="14">
        <v>0</v>
      </c>
      <c r="J361" s="24">
        <v>7</v>
      </c>
    </row>
    <row r="362" spans="1:10" x14ac:dyDescent="0.35">
      <c r="A362" s="12">
        <v>1</v>
      </c>
      <c r="B362" s="14">
        <v>31</v>
      </c>
      <c r="C362" s="14">
        <v>1</v>
      </c>
      <c r="D362" s="27">
        <v>1</v>
      </c>
      <c r="E362" s="14">
        <v>1</v>
      </c>
      <c r="F362" s="14">
        <v>0</v>
      </c>
      <c r="G362" s="14">
        <v>1</v>
      </c>
      <c r="H362" s="28">
        <v>1</v>
      </c>
      <c r="I362" s="14">
        <v>0</v>
      </c>
      <c r="J362" s="24">
        <v>6</v>
      </c>
    </row>
    <row r="363" spans="1:10" x14ac:dyDescent="0.35">
      <c r="A363" s="12">
        <v>2</v>
      </c>
      <c r="B363" s="14">
        <v>31</v>
      </c>
      <c r="C363" s="14">
        <v>2</v>
      </c>
      <c r="D363" s="27">
        <v>1</v>
      </c>
      <c r="E363" s="14">
        <v>1</v>
      </c>
      <c r="F363" s="14">
        <v>1</v>
      </c>
      <c r="G363" s="14">
        <v>0</v>
      </c>
      <c r="H363" s="28">
        <v>0</v>
      </c>
      <c r="I363" s="14">
        <v>1</v>
      </c>
      <c r="J363" s="24">
        <v>4</v>
      </c>
    </row>
    <row r="364" spans="1:10" x14ac:dyDescent="0.35">
      <c r="A364" s="12">
        <v>3</v>
      </c>
      <c r="B364" s="14">
        <v>31</v>
      </c>
      <c r="C364" s="14">
        <v>3</v>
      </c>
      <c r="D364" s="27">
        <v>0</v>
      </c>
      <c r="E364" s="14">
        <v>0</v>
      </c>
      <c r="F364" s="14">
        <v>1</v>
      </c>
      <c r="G364" s="14">
        <v>1</v>
      </c>
      <c r="H364" s="28">
        <v>1</v>
      </c>
      <c r="I364" s="14">
        <v>0</v>
      </c>
      <c r="J364" s="24">
        <v>3</v>
      </c>
    </row>
    <row r="365" spans="1:10" x14ac:dyDescent="0.35">
      <c r="A365" s="12">
        <v>4</v>
      </c>
      <c r="B365" s="14">
        <v>31</v>
      </c>
      <c r="C365" s="14">
        <v>4</v>
      </c>
      <c r="D365" s="27">
        <v>1</v>
      </c>
      <c r="E365" s="14">
        <v>1</v>
      </c>
      <c r="F365" s="14">
        <v>1</v>
      </c>
      <c r="G365" s="14">
        <v>1</v>
      </c>
      <c r="H365" s="28">
        <v>0</v>
      </c>
      <c r="I365" s="14">
        <v>0</v>
      </c>
      <c r="J365" s="24">
        <v>7</v>
      </c>
    </row>
    <row r="366" spans="1:10" x14ac:dyDescent="0.35">
      <c r="A366" s="12">
        <v>5</v>
      </c>
      <c r="B366" s="14">
        <v>31</v>
      </c>
      <c r="C366" s="14">
        <v>5</v>
      </c>
      <c r="D366" s="27">
        <v>1</v>
      </c>
      <c r="E366" s="14">
        <v>0</v>
      </c>
      <c r="F366" s="14">
        <v>1</v>
      </c>
      <c r="G366" s="14">
        <v>0</v>
      </c>
      <c r="H366" s="28">
        <v>0</v>
      </c>
      <c r="I366" s="14">
        <v>0</v>
      </c>
      <c r="J366" s="24">
        <v>5</v>
      </c>
    </row>
    <row r="367" spans="1:10" x14ac:dyDescent="0.35">
      <c r="A367" s="12">
        <v>6</v>
      </c>
      <c r="B367" s="14">
        <v>31</v>
      </c>
      <c r="C367" s="14">
        <v>6</v>
      </c>
      <c r="D367" s="27">
        <v>1</v>
      </c>
      <c r="E367" s="14">
        <v>0</v>
      </c>
      <c r="F367" s="14">
        <v>0</v>
      </c>
      <c r="G367" s="14">
        <v>0</v>
      </c>
      <c r="H367" s="28">
        <v>1</v>
      </c>
      <c r="I367" s="14">
        <v>0</v>
      </c>
      <c r="J367" s="24">
        <v>3</v>
      </c>
    </row>
    <row r="368" spans="1:10" x14ac:dyDescent="0.35">
      <c r="A368" s="12">
        <v>7</v>
      </c>
      <c r="B368" s="14">
        <v>31</v>
      </c>
      <c r="C368" s="14">
        <v>7</v>
      </c>
      <c r="D368" s="27">
        <v>0</v>
      </c>
      <c r="E368" s="14">
        <v>1</v>
      </c>
      <c r="F368" s="14">
        <v>1</v>
      </c>
      <c r="G368" s="14">
        <v>0</v>
      </c>
      <c r="H368" s="28">
        <v>1</v>
      </c>
      <c r="I368" s="14">
        <v>0</v>
      </c>
      <c r="J368" s="24">
        <v>5</v>
      </c>
    </row>
    <row r="369" spans="1:10" x14ac:dyDescent="0.35">
      <c r="A369" s="12">
        <v>8</v>
      </c>
      <c r="B369" s="14">
        <v>31</v>
      </c>
      <c r="C369" s="14">
        <v>8</v>
      </c>
      <c r="D369" s="27">
        <v>0</v>
      </c>
      <c r="E369" s="14">
        <v>0</v>
      </c>
      <c r="F369" s="14">
        <v>0</v>
      </c>
      <c r="G369" s="14">
        <v>0</v>
      </c>
      <c r="H369" s="28">
        <v>0</v>
      </c>
      <c r="I369" s="14">
        <v>0</v>
      </c>
      <c r="J369" s="24">
        <v>6</v>
      </c>
    </row>
    <row r="370" spans="1:10" x14ac:dyDescent="0.35">
      <c r="A370" s="12">
        <v>9</v>
      </c>
      <c r="B370" s="14">
        <v>31</v>
      </c>
      <c r="C370" s="14">
        <v>9</v>
      </c>
      <c r="D370" s="27">
        <v>1</v>
      </c>
      <c r="E370" s="14">
        <v>0</v>
      </c>
      <c r="F370" s="14">
        <v>0</v>
      </c>
      <c r="G370" s="14">
        <v>1</v>
      </c>
      <c r="H370" s="28">
        <v>0</v>
      </c>
      <c r="I370" s="14">
        <v>1</v>
      </c>
      <c r="J370" s="24">
        <v>2</v>
      </c>
    </row>
    <row r="371" spans="1:10" x14ac:dyDescent="0.35">
      <c r="A371" s="12">
        <v>10</v>
      </c>
      <c r="B371" s="14">
        <v>31</v>
      </c>
      <c r="C371" s="14">
        <v>10</v>
      </c>
      <c r="D371" s="27">
        <v>0</v>
      </c>
      <c r="E371" s="14">
        <v>0</v>
      </c>
      <c r="F371" s="14">
        <v>1</v>
      </c>
      <c r="G371" s="14">
        <v>1</v>
      </c>
      <c r="H371" s="28">
        <v>0</v>
      </c>
      <c r="I371" s="14">
        <v>1</v>
      </c>
      <c r="J371" s="24">
        <v>4</v>
      </c>
    </row>
    <row r="372" spans="1:10" x14ac:dyDescent="0.35">
      <c r="A372" s="12">
        <v>11</v>
      </c>
      <c r="B372" s="14">
        <v>31</v>
      </c>
      <c r="C372" s="14">
        <v>11</v>
      </c>
      <c r="D372" s="27">
        <v>0</v>
      </c>
      <c r="E372" s="14">
        <v>1</v>
      </c>
      <c r="F372" s="14">
        <v>0</v>
      </c>
      <c r="G372" s="14">
        <v>0</v>
      </c>
      <c r="H372" s="28">
        <v>0</v>
      </c>
      <c r="I372" s="14">
        <v>1</v>
      </c>
      <c r="J372" s="24">
        <v>3</v>
      </c>
    </row>
    <row r="373" spans="1:10" x14ac:dyDescent="0.35">
      <c r="A373" s="12">
        <v>12</v>
      </c>
      <c r="B373" s="14">
        <v>31</v>
      </c>
      <c r="C373" s="14">
        <v>12</v>
      </c>
      <c r="D373" s="27">
        <v>0</v>
      </c>
      <c r="E373" s="14">
        <v>1</v>
      </c>
      <c r="F373" s="14">
        <v>0</v>
      </c>
      <c r="G373" s="14">
        <v>1</v>
      </c>
      <c r="H373" s="28">
        <v>0</v>
      </c>
      <c r="I373" s="14">
        <v>0</v>
      </c>
      <c r="J373" s="14">
        <v>7</v>
      </c>
    </row>
    <row r="374" spans="1:10" x14ac:dyDescent="0.35">
      <c r="A374" s="12">
        <v>1</v>
      </c>
      <c r="B374" s="14">
        <v>32</v>
      </c>
      <c r="C374" s="14">
        <v>1</v>
      </c>
      <c r="D374" s="27">
        <v>1</v>
      </c>
      <c r="E374" s="14">
        <v>1</v>
      </c>
      <c r="F374" s="14">
        <v>0</v>
      </c>
      <c r="G374" s="14">
        <v>1</v>
      </c>
      <c r="H374" s="28">
        <v>1</v>
      </c>
      <c r="I374" s="14">
        <v>0</v>
      </c>
      <c r="J374" s="24">
        <v>5</v>
      </c>
    </row>
    <row r="375" spans="1:10" x14ac:dyDescent="0.35">
      <c r="A375" s="12">
        <v>2</v>
      </c>
      <c r="B375" s="14">
        <v>32</v>
      </c>
      <c r="C375" s="14">
        <v>2</v>
      </c>
      <c r="D375" s="27">
        <v>1</v>
      </c>
      <c r="E375" s="14">
        <v>1</v>
      </c>
      <c r="F375" s="14">
        <v>1</v>
      </c>
      <c r="G375" s="14">
        <v>0</v>
      </c>
      <c r="H375" s="28">
        <v>0</v>
      </c>
      <c r="I375" s="14">
        <v>1</v>
      </c>
      <c r="J375" s="24">
        <v>3</v>
      </c>
    </row>
    <row r="376" spans="1:10" x14ac:dyDescent="0.35">
      <c r="A376" s="12">
        <v>3</v>
      </c>
      <c r="B376" s="14">
        <v>32</v>
      </c>
      <c r="C376" s="14">
        <v>3</v>
      </c>
      <c r="D376" s="27">
        <v>0</v>
      </c>
      <c r="E376" s="14">
        <v>0</v>
      </c>
      <c r="F376" s="14">
        <v>1</v>
      </c>
      <c r="G376" s="14">
        <v>1</v>
      </c>
      <c r="H376" s="28">
        <v>1</v>
      </c>
      <c r="I376" s="14">
        <v>0</v>
      </c>
      <c r="J376" s="24">
        <v>4</v>
      </c>
    </row>
    <row r="377" spans="1:10" x14ac:dyDescent="0.35">
      <c r="A377" s="12">
        <v>4</v>
      </c>
      <c r="B377" s="14">
        <v>32</v>
      </c>
      <c r="C377" s="14">
        <v>4</v>
      </c>
      <c r="D377" s="27">
        <v>1</v>
      </c>
      <c r="E377" s="14">
        <v>1</v>
      </c>
      <c r="F377" s="14">
        <v>1</v>
      </c>
      <c r="G377" s="14">
        <v>1</v>
      </c>
      <c r="H377" s="28">
        <v>0</v>
      </c>
      <c r="I377" s="14">
        <v>0</v>
      </c>
      <c r="J377" s="24">
        <v>6</v>
      </c>
    </row>
    <row r="378" spans="1:10" x14ac:dyDescent="0.35">
      <c r="A378" s="12">
        <v>5</v>
      </c>
      <c r="B378" s="14">
        <v>32</v>
      </c>
      <c r="C378" s="14">
        <v>5</v>
      </c>
      <c r="D378" s="27">
        <v>1</v>
      </c>
      <c r="E378" s="14">
        <v>0</v>
      </c>
      <c r="F378" s="14">
        <v>1</v>
      </c>
      <c r="G378" s="14">
        <v>0</v>
      </c>
      <c r="H378" s="28">
        <v>0</v>
      </c>
      <c r="I378" s="14">
        <v>0</v>
      </c>
      <c r="J378" s="24">
        <v>5</v>
      </c>
    </row>
    <row r="379" spans="1:10" x14ac:dyDescent="0.35">
      <c r="A379" s="12">
        <v>6</v>
      </c>
      <c r="B379" s="14">
        <v>32</v>
      </c>
      <c r="C379" s="14">
        <v>6</v>
      </c>
      <c r="D379" s="27">
        <v>1</v>
      </c>
      <c r="E379" s="14">
        <v>0</v>
      </c>
      <c r="F379" s="14">
        <v>0</v>
      </c>
      <c r="G379" s="14">
        <v>0</v>
      </c>
      <c r="H379" s="28">
        <v>1</v>
      </c>
      <c r="I379" s="14">
        <v>0</v>
      </c>
      <c r="J379" s="24">
        <v>3</v>
      </c>
    </row>
    <row r="380" spans="1:10" x14ac:dyDescent="0.35">
      <c r="A380" s="12">
        <v>7</v>
      </c>
      <c r="B380" s="14">
        <v>32</v>
      </c>
      <c r="C380" s="14">
        <v>7</v>
      </c>
      <c r="D380" s="27">
        <v>0</v>
      </c>
      <c r="E380" s="14">
        <v>1</v>
      </c>
      <c r="F380" s="14">
        <v>1</v>
      </c>
      <c r="G380" s="14">
        <v>0</v>
      </c>
      <c r="H380" s="28">
        <v>1</v>
      </c>
      <c r="I380" s="14">
        <v>0</v>
      </c>
      <c r="J380" s="24">
        <v>4</v>
      </c>
    </row>
    <row r="381" spans="1:10" x14ac:dyDescent="0.35">
      <c r="A381" s="12">
        <v>8</v>
      </c>
      <c r="B381" s="14">
        <v>32</v>
      </c>
      <c r="C381" s="14">
        <v>8</v>
      </c>
      <c r="D381" s="27">
        <v>0</v>
      </c>
      <c r="E381" s="14">
        <v>0</v>
      </c>
      <c r="F381" s="14">
        <v>0</v>
      </c>
      <c r="G381" s="14">
        <v>0</v>
      </c>
      <c r="H381" s="28">
        <v>0</v>
      </c>
      <c r="I381" s="14">
        <v>0</v>
      </c>
      <c r="J381" s="24">
        <v>5</v>
      </c>
    </row>
    <row r="382" spans="1:10" x14ac:dyDescent="0.35">
      <c r="A382" s="12">
        <v>9</v>
      </c>
      <c r="B382" s="14">
        <v>32</v>
      </c>
      <c r="C382" s="14">
        <v>9</v>
      </c>
      <c r="D382" s="27">
        <v>1</v>
      </c>
      <c r="E382" s="14">
        <v>0</v>
      </c>
      <c r="F382" s="14">
        <v>0</v>
      </c>
      <c r="G382" s="14">
        <v>1</v>
      </c>
      <c r="H382" s="28">
        <v>0</v>
      </c>
      <c r="I382" s="14">
        <v>1</v>
      </c>
      <c r="J382" s="24">
        <v>3</v>
      </c>
    </row>
    <row r="383" spans="1:10" x14ac:dyDescent="0.35">
      <c r="A383" s="12">
        <v>10</v>
      </c>
      <c r="B383" s="14">
        <v>32</v>
      </c>
      <c r="C383" s="14">
        <v>10</v>
      </c>
      <c r="D383" s="27">
        <v>0</v>
      </c>
      <c r="E383" s="14">
        <v>0</v>
      </c>
      <c r="F383" s="14">
        <v>1</v>
      </c>
      <c r="G383" s="14">
        <v>1</v>
      </c>
      <c r="H383" s="28">
        <v>0</v>
      </c>
      <c r="I383" s="14">
        <v>1</v>
      </c>
      <c r="J383" s="24">
        <v>4</v>
      </c>
    </row>
    <row r="384" spans="1:10" x14ac:dyDescent="0.35">
      <c r="A384" s="12">
        <v>11</v>
      </c>
      <c r="B384" s="14">
        <v>32</v>
      </c>
      <c r="C384" s="14">
        <v>11</v>
      </c>
      <c r="D384" s="27">
        <v>0</v>
      </c>
      <c r="E384" s="14">
        <v>1</v>
      </c>
      <c r="F384" s="14">
        <v>0</v>
      </c>
      <c r="G384" s="14">
        <v>0</v>
      </c>
      <c r="H384" s="28">
        <v>0</v>
      </c>
      <c r="I384" s="14">
        <v>1</v>
      </c>
      <c r="J384" s="24">
        <v>2</v>
      </c>
    </row>
    <row r="385" spans="1:10" x14ac:dyDescent="0.35">
      <c r="A385" s="12">
        <v>12</v>
      </c>
      <c r="B385" s="14">
        <v>32</v>
      </c>
      <c r="C385" s="14">
        <v>12</v>
      </c>
      <c r="D385" s="27">
        <v>0</v>
      </c>
      <c r="E385" s="14">
        <v>1</v>
      </c>
      <c r="F385" s="14">
        <v>0</v>
      </c>
      <c r="G385" s="14">
        <v>1</v>
      </c>
      <c r="H385" s="28">
        <v>0</v>
      </c>
      <c r="I385" s="14">
        <v>0</v>
      </c>
      <c r="J385" s="24">
        <v>7</v>
      </c>
    </row>
    <row r="386" spans="1:10" x14ac:dyDescent="0.35">
      <c r="A386" s="12">
        <v>1</v>
      </c>
      <c r="B386" s="14">
        <v>33</v>
      </c>
      <c r="C386" s="14">
        <v>1</v>
      </c>
      <c r="D386" s="27">
        <v>1</v>
      </c>
      <c r="E386" s="14">
        <v>1</v>
      </c>
      <c r="F386" s="14">
        <v>0</v>
      </c>
      <c r="G386" s="14">
        <v>1</v>
      </c>
      <c r="H386" s="28">
        <v>1</v>
      </c>
      <c r="I386" s="14">
        <v>0</v>
      </c>
      <c r="J386" s="24">
        <v>6</v>
      </c>
    </row>
    <row r="387" spans="1:10" x14ac:dyDescent="0.35">
      <c r="A387" s="12">
        <v>2</v>
      </c>
      <c r="B387" s="14">
        <v>33</v>
      </c>
      <c r="C387" s="14">
        <v>2</v>
      </c>
      <c r="D387" s="27">
        <v>1</v>
      </c>
      <c r="E387" s="14">
        <v>1</v>
      </c>
      <c r="F387" s="14">
        <v>1</v>
      </c>
      <c r="G387" s="14">
        <v>0</v>
      </c>
      <c r="H387" s="28">
        <v>0</v>
      </c>
      <c r="I387" s="14">
        <v>1</v>
      </c>
      <c r="J387" s="24">
        <v>3</v>
      </c>
    </row>
    <row r="388" spans="1:10" x14ac:dyDescent="0.35">
      <c r="A388" s="12">
        <v>3</v>
      </c>
      <c r="B388" s="14">
        <v>33</v>
      </c>
      <c r="C388" s="14">
        <v>3</v>
      </c>
      <c r="D388" s="27">
        <v>0</v>
      </c>
      <c r="E388" s="14">
        <v>0</v>
      </c>
      <c r="F388" s="14">
        <v>1</v>
      </c>
      <c r="G388" s="14">
        <v>1</v>
      </c>
      <c r="H388" s="28">
        <v>1</v>
      </c>
      <c r="I388" s="14">
        <v>0</v>
      </c>
      <c r="J388" s="24">
        <v>3</v>
      </c>
    </row>
    <row r="389" spans="1:10" x14ac:dyDescent="0.35">
      <c r="A389" s="12">
        <v>4</v>
      </c>
      <c r="B389" s="14">
        <v>33</v>
      </c>
      <c r="C389" s="14">
        <v>4</v>
      </c>
      <c r="D389" s="27">
        <v>1</v>
      </c>
      <c r="E389" s="14">
        <v>1</v>
      </c>
      <c r="F389" s="14">
        <v>1</v>
      </c>
      <c r="G389" s="14">
        <v>1</v>
      </c>
      <c r="H389" s="28">
        <v>0</v>
      </c>
      <c r="I389" s="14">
        <v>0</v>
      </c>
      <c r="J389" s="24">
        <v>7</v>
      </c>
    </row>
    <row r="390" spans="1:10" x14ac:dyDescent="0.35">
      <c r="A390" s="12">
        <v>5</v>
      </c>
      <c r="B390" s="14">
        <v>33</v>
      </c>
      <c r="C390" s="14">
        <v>5</v>
      </c>
      <c r="D390" s="27">
        <v>1</v>
      </c>
      <c r="E390" s="14">
        <v>0</v>
      </c>
      <c r="F390" s="14">
        <v>1</v>
      </c>
      <c r="G390" s="14">
        <v>0</v>
      </c>
      <c r="H390" s="28">
        <v>0</v>
      </c>
      <c r="I390" s="14">
        <v>0</v>
      </c>
      <c r="J390" s="24">
        <v>5</v>
      </c>
    </row>
    <row r="391" spans="1:10" x14ac:dyDescent="0.35">
      <c r="A391" s="12">
        <v>6</v>
      </c>
      <c r="B391" s="14">
        <v>33</v>
      </c>
      <c r="C391" s="14">
        <v>6</v>
      </c>
      <c r="D391" s="27">
        <v>1</v>
      </c>
      <c r="E391" s="14">
        <v>0</v>
      </c>
      <c r="F391" s="14">
        <v>0</v>
      </c>
      <c r="G391" s="14">
        <v>0</v>
      </c>
      <c r="H391" s="28">
        <v>1</v>
      </c>
      <c r="I391" s="14">
        <v>0</v>
      </c>
      <c r="J391" s="24">
        <v>3</v>
      </c>
    </row>
    <row r="392" spans="1:10" x14ac:dyDescent="0.35">
      <c r="A392" s="12">
        <v>7</v>
      </c>
      <c r="B392" s="14">
        <v>33</v>
      </c>
      <c r="C392" s="14">
        <v>7</v>
      </c>
      <c r="D392" s="27">
        <v>0</v>
      </c>
      <c r="E392" s="14">
        <v>1</v>
      </c>
      <c r="F392" s="14">
        <v>1</v>
      </c>
      <c r="G392" s="14">
        <v>0</v>
      </c>
      <c r="H392" s="28">
        <v>1</v>
      </c>
      <c r="I392" s="14">
        <v>0</v>
      </c>
      <c r="J392" s="24">
        <v>4</v>
      </c>
    </row>
    <row r="393" spans="1:10" x14ac:dyDescent="0.35">
      <c r="A393" s="12">
        <v>8</v>
      </c>
      <c r="B393" s="14">
        <v>33</v>
      </c>
      <c r="C393" s="14">
        <v>8</v>
      </c>
      <c r="D393" s="27">
        <v>0</v>
      </c>
      <c r="E393" s="14">
        <v>0</v>
      </c>
      <c r="F393" s="14">
        <v>0</v>
      </c>
      <c r="G393" s="14">
        <v>0</v>
      </c>
      <c r="H393" s="28">
        <v>0</v>
      </c>
      <c r="I393" s="14">
        <v>0</v>
      </c>
      <c r="J393" s="24">
        <v>5</v>
      </c>
    </row>
    <row r="394" spans="1:10" x14ac:dyDescent="0.35">
      <c r="A394" s="12">
        <v>9</v>
      </c>
      <c r="B394" s="14">
        <v>33</v>
      </c>
      <c r="C394" s="14">
        <v>9</v>
      </c>
      <c r="D394" s="27">
        <v>1</v>
      </c>
      <c r="E394" s="14">
        <v>0</v>
      </c>
      <c r="F394" s="14">
        <v>0</v>
      </c>
      <c r="G394" s="14">
        <v>1</v>
      </c>
      <c r="H394" s="28">
        <v>0</v>
      </c>
      <c r="I394" s="14">
        <v>1</v>
      </c>
      <c r="J394" s="24">
        <v>2</v>
      </c>
    </row>
    <row r="395" spans="1:10" x14ac:dyDescent="0.35">
      <c r="A395" s="12">
        <v>10</v>
      </c>
      <c r="B395" s="14">
        <v>33</v>
      </c>
      <c r="C395" s="14">
        <v>10</v>
      </c>
      <c r="D395" s="27">
        <v>0</v>
      </c>
      <c r="E395" s="14">
        <v>0</v>
      </c>
      <c r="F395" s="14">
        <v>1</v>
      </c>
      <c r="G395" s="14">
        <v>1</v>
      </c>
      <c r="H395" s="28">
        <v>0</v>
      </c>
      <c r="I395" s="14">
        <v>1</v>
      </c>
      <c r="J395" s="24">
        <v>3</v>
      </c>
    </row>
    <row r="396" spans="1:10" x14ac:dyDescent="0.35">
      <c r="A396" s="12">
        <v>11</v>
      </c>
      <c r="B396" s="14">
        <v>33</v>
      </c>
      <c r="C396" s="14">
        <v>11</v>
      </c>
      <c r="D396" s="27">
        <v>0</v>
      </c>
      <c r="E396" s="14">
        <v>1</v>
      </c>
      <c r="F396" s="14">
        <v>0</v>
      </c>
      <c r="G396" s="14">
        <v>0</v>
      </c>
      <c r="H396" s="28">
        <v>0</v>
      </c>
      <c r="I396" s="14">
        <v>1</v>
      </c>
      <c r="J396" s="24">
        <v>3</v>
      </c>
    </row>
    <row r="397" spans="1:10" x14ac:dyDescent="0.35">
      <c r="A397" s="12">
        <v>12</v>
      </c>
      <c r="B397" s="14">
        <v>33</v>
      </c>
      <c r="C397" s="14">
        <v>12</v>
      </c>
      <c r="D397" s="27">
        <v>0</v>
      </c>
      <c r="E397" s="14">
        <v>1</v>
      </c>
      <c r="F397" s="14">
        <v>0</v>
      </c>
      <c r="G397" s="14">
        <v>1</v>
      </c>
      <c r="H397" s="28">
        <v>0</v>
      </c>
      <c r="I397" s="14">
        <v>0</v>
      </c>
      <c r="J397" s="24">
        <v>7</v>
      </c>
    </row>
    <row r="398" spans="1:10" x14ac:dyDescent="0.35">
      <c r="A398" s="12">
        <v>1</v>
      </c>
      <c r="B398" s="14">
        <v>34</v>
      </c>
      <c r="C398" s="14">
        <v>1</v>
      </c>
      <c r="D398" s="27">
        <v>1</v>
      </c>
      <c r="E398" s="14">
        <v>1</v>
      </c>
      <c r="F398" s="14">
        <v>0</v>
      </c>
      <c r="G398" s="14">
        <v>1</v>
      </c>
      <c r="H398" s="28">
        <v>1</v>
      </c>
      <c r="I398" s="14">
        <v>0</v>
      </c>
      <c r="J398" s="24">
        <v>5</v>
      </c>
    </row>
    <row r="399" spans="1:10" x14ac:dyDescent="0.35">
      <c r="A399" s="12">
        <v>2</v>
      </c>
      <c r="B399" s="14">
        <v>34</v>
      </c>
      <c r="C399" s="14">
        <v>2</v>
      </c>
      <c r="D399" s="27">
        <v>1</v>
      </c>
      <c r="E399" s="14">
        <v>1</v>
      </c>
      <c r="F399" s="14">
        <v>1</v>
      </c>
      <c r="G399" s="14">
        <v>0</v>
      </c>
      <c r="H399" s="28">
        <v>0</v>
      </c>
      <c r="I399" s="14">
        <v>1</v>
      </c>
      <c r="J399" s="24">
        <v>4</v>
      </c>
    </row>
    <row r="400" spans="1:10" x14ac:dyDescent="0.35">
      <c r="A400" s="12">
        <v>3</v>
      </c>
      <c r="B400" s="14">
        <v>34</v>
      </c>
      <c r="C400" s="14">
        <v>3</v>
      </c>
      <c r="D400" s="27">
        <v>0</v>
      </c>
      <c r="E400" s="14">
        <v>0</v>
      </c>
      <c r="F400" s="14">
        <v>1</v>
      </c>
      <c r="G400" s="14">
        <v>1</v>
      </c>
      <c r="H400" s="28">
        <v>1</v>
      </c>
      <c r="I400" s="14">
        <v>0</v>
      </c>
      <c r="J400" s="24">
        <v>3</v>
      </c>
    </row>
    <row r="401" spans="1:10" x14ac:dyDescent="0.35">
      <c r="A401" s="12">
        <v>4</v>
      </c>
      <c r="B401" s="14">
        <v>34</v>
      </c>
      <c r="C401" s="14">
        <v>4</v>
      </c>
      <c r="D401" s="27">
        <v>1</v>
      </c>
      <c r="E401" s="14">
        <v>1</v>
      </c>
      <c r="F401" s="14">
        <v>1</v>
      </c>
      <c r="G401" s="14">
        <v>1</v>
      </c>
      <c r="H401" s="28">
        <v>0</v>
      </c>
      <c r="I401" s="14">
        <v>0</v>
      </c>
      <c r="J401" s="24">
        <v>6</v>
      </c>
    </row>
    <row r="402" spans="1:10" x14ac:dyDescent="0.35">
      <c r="A402" s="12">
        <v>5</v>
      </c>
      <c r="B402" s="14">
        <v>34</v>
      </c>
      <c r="C402" s="14">
        <v>5</v>
      </c>
      <c r="D402" s="27">
        <v>1</v>
      </c>
      <c r="E402" s="14">
        <v>0</v>
      </c>
      <c r="F402" s="14">
        <v>1</v>
      </c>
      <c r="G402" s="14">
        <v>0</v>
      </c>
      <c r="H402" s="28">
        <v>0</v>
      </c>
      <c r="I402" s="14">
        <v>0</v>
      </c>
      <c r="J402" s="24">
        <v>4</v>
      </c>
    </row>
    <row r="403" spans="1:10" x14ac:dyDescent="0.35">
      <c r="A403" s="12">
        <v>6</v>
      </c>
      <c r="B403" s="14">
        <v>34</v>
      </c>
      <c r="C403" s="14">
        <v>6</v>
      </c>
      <c r="D403" s="27">
        <v>1</v>
      </c>
      <c r="E403" s="14">
        <v>0</v>
      </c>
      <c r="F403" s="14">
        <v>0</v>
      </c>
      <c r="G403" s="14">
        <v>0</v>
      </c>
      <c r="H403" s="28">
        <v>1</v>
      </c>
      <c r="I403" s="14">
        <v>0</v>
      </c>
      <c r="J403" s="24">
        <v>3</v>
      </c>
    </row>
    <row r="404" spans="1:10" x14ac:dyDescent="0.35">
      <c r="A404" s="12">
        <v>7</v>
      </c>
      <c r="B404" s="14">
        <v>34</v>
      </c>
      <c r="C404" s="14">
        <v>7</v>
      </c>
      <c r="D404" s="27">
        <v>0</v>
      </c>
      <c r="E404" s="14">
        <v>1</v>
      </c>
      <c r="F404" s="14">
        <v>1</v>
      </c>
      <c r="G404" s="14">
        <v>0</v>
      </c>
      <c r="H404" s="28">
        <v>1</v>
      </c>
      <c r="I404" s="14">
        <v>0</v>
      </c>
      <c r="J404" s="24">
        <v>5</v>
      </c>
    </row>
    <row r="405" spans="1:10" x14ac:dyDescent="0.35">
      <c r="A405" s="12">
        <v>8</v>
      </c>
      <c r="B405" s="14">
        <v>34</v>
      </c>
      <c r="C405" s="14">
        <v>8</v>
      </c>
      <c r="D405" s="27">
        <v>0</v>
      </c>
      <c r="E405" s="14">
        <v>0</v>
      </c>
      <c r="F405" s="14">
        <v>0</v>
      </c>
      <c r="G405" s="14">
        <v>0</v>
      </c>
      <c r="H405" s="28">
        <v>0</v>
      </c>
      <c r="I405" s="14">
        <v>0</v>
      </c>
      <c r="J405" s="24">
        <v>5</v>
      </c>
    </row>
    <row r="406" spans="1:10" x14ac:dyDescent="0.35">
      <c r="A406" s="12">
        <v>9</v>
      </c>
      <c r="B406" s="14">
        <v>34</v>
      </c>
      <c r="C406" s="14">
        <v>9</v>
      </c>
      <c r="D406" s="27">
        <v>1</v>
      </c>
      <c r="E406" s="14">
        <v>0</v>
      </c>
      <c r="F406" s="14">
        <v>0</v>
      </c>
      <c r="G406" s="14">
        <v>1</v>
      </c>
      <c r="H406" s="28">
        <v>0</v>
      </c>
      <c r="I406" s="14">
        <v>1</v>
      </c>
      <c r="J406" s="24">
        <v>3</v>
      </c>
    </row>
    <row r="407" spans="1:10" x14ac:dyDescent="0.35">
      <c r="A407" s="12">
        <v>10</v>
      </c>
      <c r="B407" s="14">
        <v>34</v>
      </c>
      <c r="C407" s="14">
        <v>10</v>
      </c>
      <c r="D407" s="27">
        <v>0</v>
      </c>
      <c r="E407" s="14">
        <v>0</v>
      </c>
      <c r="F407" s="14">
        <v>1</v>
      </c>
      <c r="G407" s="14">
        <v>1</v>
      </c>
      <c r="H407" s="28">
        <v>0</v>
      </c>
      <c r="I407" s="14">
        <v>1</v>
      </c>
      <c r="J407" s="24">
        <v>4</v>
      </c>
    </row>
    <row r="408" spans="1:10" x14ac:dyDescent="0.35">
      <c r="A408" s="12">
        <v>11</v>
      </c>
      <c r="B408" s="14">
        <v>34</v>
      </c>
      <c r="C408" s="14">
        <v>11</v>
      </c>
      <c r="D408" s="27">
        <v>0</v>
      </c>
      <c r="E408" s="14">
        <v>1</v>
      </c>
      <c r="F408" s="14">
        <v>0</v>
      </c>
      <c r="G408" s="14">
        <v>0</v>
      </c>
      <c r="H408" s="28">
        <v>0</v>
      </c>
      <c r="I408" s="14">
        <v>1</v>
      </c>
      <c r="J408" s="24">
        <v>2</v>
      </c>
    </row>
    <row r="409" spans="1:10" x14ac:dyDescent="0.35">
      <c r="A409" s="12">
        <v>12</v>
      </c>
      <c r="B409" s="14">
        <v>34</v>
      </c>
      <c r="C409" s="14">
        <v>12</v>
      </c>
      <c r="D409" s="27">
        <v>0</v>
      </c>
      <c r="E409" s="14">
        <v>1</v>
      </c>
      <c r="F409" s="14">
        <v>0</v>
      </c>
      <c r="G409" s="14">
        <v>1</v>
      </c>
      <c r="H409" s="28">
        <v>0</v>
      </c>
      <c r="I409" s="14">
        <v>0</v>
      </c>
      <c r="J409" s="24">
        <v>6</v>
      </c>
    </row>
    <row r="410" spans="1:10" x14ac:dyDescent="0.35">
      <c r="A410" s="12">
        <v>1</v>
      </c>
      <c r="B410" s="14">
        <v>35</v>
      </c>
      <c r="C410" s="14">
        <v>1</v>
      </c>
      <c r="D410" s="27">
        <v>1</v>
      </c>
      <c r="E410" s="14">
        <v>1</v>
      </c>
      <c r="F410" s="14">
        <v>0</v>
      </c>
      <c r="G410" s="14">
        <v>1</v>
      </c>
      <c r="H410" s="28">
        <v>1</v>
      </c>
      <c r="I410" s="14">
        <v>0</v>
      </c>
      <c r="J410" s="24">
        <v>6</v>
      </c>
    </row>
    <row r="411" spans="1:10" x14ac:dyDescent="0.35">
      <c r="A411" s="12">
        <v>2</v>
      </c>
      <c r="B411" s="14">
        <v>35</v>
      </c>
      <c r="C411" s="14">
        <v>2</v>
      </c>
      <c r="D411" s="27">
        <v>1</v>
      </c>
      <c r="E411" s="14">
        <v>1</v>
      </c>
      <c r="F411" s="14">
        <v>1</v>
      </c>
      <c r="G411" s="14">
        <v>0</v>
      </c>
      <c r="H411" s="28">
        <v>0</v>
      </c>
      <c r="I411" s="14">
        <v>1</v>
      </c>
      <c r="J411" s="24">
        <v>3</v>
      </c>
    </row>
    <row r="412" spans="1:10" x14ac:dyDescent="0.35">
      <c r="A412" s="12">
        <v>3</v>
      </c>
      <c r="B412" s="14">
        <v>35</v>
      </c>
      <c r="C412" s="14">
        <v>3</v>
      </c>
      <c r="D412" s="27">
        <v>0</v>
      </c>
      <c r="E412" s="14">
        <v>0</v>
      </c>
      <c r="F412" s="14">
        <v>1</v>
      </c>
      <c r="G412" s="14">
        <v>1</v>
      </c>
      <c r="H412" s="28">
        <v>1</v>
      </c>
      <c r="I412" s="14">
        <v>0</v>
      </c>
      <c r="J412" s="24">
        <v>4</v>
      </c>
    </row>
    <row r="413" spans="1:10" x14ac:dyDescent="0.35">
      <c r="A413" s="12">
        <v>4</v>
      </c>
      <c r="B413" s="14">
        <v>35</v>
      </c>
      <c r="C413" s="14">
        <v>4</v>
      </c>
      <c r="D413" s="27">
        <v>1</v>
      </c>
      <c r="E413" s="14">
        <v>1</v>
      </c>
      <c r="F413" s="14">
        <v>1</v>
      </c>
      <c r="G413" s="14">
        <v>1</v>
      </c>
      <c r="H413" s="28">
        <v>0</v>
      </c>
      <c r="I413" s="14">
        <v>0</v>
      </c>
      <c r="J413" s="24">
        <v>7</v>
      </c>
    </row>
    <row r="414" spans="1:10" x14ac:dyDescent="0.35">
      <c r="A414" s="12">
        <v>5</v>
      </c>
      <c r="B414" s="14">
        <v>35</v>
      </c>
      <c r="C414" s="14">
        <v>5</v>
      </c>
      <c r="D414" s="27">
        <v>1</v>
      </c>
      <c r="E414" s="14">
        <v>0</v>
      </c>
      <c r="F414" s="14">
        <v>1</v>
      </c>
      <c r="G414" s="14">
        <v>0</v>
      </c>
      <c r="H414" s="28">
        <v>0</v>
      </c>
      <c r="I414" s="14">
        <v>0</v>
      </c>
      <c r="J414" s="24">
        <v>5</v>
      </c>
    </row>
    <row r="415" spans="1:10" x14ac:dyDescent="0.35">
      <c r="A415" s="12">
        <v>6</v>
      </c>
      <c r="B415" s="14">
        <v>35</v>
      </c>
      <c r="C415" s="14">
        <v>6</v>
      </c>
      <c r="D415" s="27">
        <v>1</v>
      </c>
      <c r="E415" s="14">
        <v>0</v>
      </c>
      <c r="F415" s="14">
        <v>0</v>
      </c>
      <c r="G415" s="14">
        <v>0</v>
      </c>
      <c r="H415" s="28">
        <v>1</v>
      </c>
      <c r="I415" s="14">
        <v>0</v>
      </c>
      <c r="J415" s="24">
        <v>3</v>
      </c>
    </row>
    <row r="416" spans="1:10" x14ac:dyDescent="0.35">
      <c r="A416" s="12">
        <v>7</v>
      </c>
      <c r="B416" s="14">
        <v>35</v>
      </c>
      <c r="C416" s="14">
        <v>7</v>
      </c>
      <c r="D416" s="27">
        <v>0</v>
      </c>
      <c r="E416" s="14">
        <v>1</v>
      </c>
      <c r="F416" s="14">
        <v>1</v>
      </c>
      <c r="G416" s="14">
        <v>0</v>
      </c>
      <c r="H416" s="28">
        <v>1</v>
      </c>
      <c r="I416" s="14">
        <v>0</v>
      </c>
      <c r="J416" s="24">
        <v>4</v>
      </c>
    </row>
    <row r="417" spans="1:10" x14ac:dyDescent="0.35">
      <c r="A417" s="12">
        <v>8</v>
      </c>
      <c r="B417" s="14">
        <v>35</v>
      </c>
      <c r="C417" s="14">
        <v>8</v>
      </c>
      <c r="D417" s="27">
        <v>0</v>
      </c>
      <c r="E417" s="14">
        <v>0</v>
      </c>
      <c r="F417" s="14">
        <v>0</v>
      </c>
      <c r="G417" s="14">
        <v>0</v>
      </c>
      <c r="H417" s="28">
        <v>0</v>
      </c>
      <c r="I417" s="14">
        <v>0</v>
      </c>
      <c r="J417" s="24">
        <v>5</v>
      </c>
    </row>
    <row r="418" spans="1:10" x14ac:dyDescent="0.35">
      <c r="A418" s="12">
        <v>9</v>
      </c>
      <c r="B418" s="14">
        <v>35</v>
      </c>
      <c r="C418" s="14">
        <v>9</v>
      </c>
      <c r="D418" s="27">
        <v>1</v>
      </c>
      <c r="E418" s="14">
        <v>0</v>
      </c>
      <c r="F418" s="14">
        <v>0</v>
      </c>
      <c r="G418" s="14">
        <v>1</v>
      </c>
      <c r="H418" s="28">
        <v>0</v>
      </c>
      <c r="I418" s="14">
        <v>1</v>
      </c>
      <c r="J418" s="24">
        <v>2</v>
      </c>
    </row>
    <row r="419" spans="1:10" x14ac:dyDescent="0.35">
      <c r="A419" s="12">
        <v>10</v>
      </c>
      <c r="B419" s="14">
        <v>35</v>
      </c>
      <c r="C419" s="14">
        <v>10</v>
      </c>
      <c r="D419" s="27">
        <v>0</v>
      </c>
      <c r="E419" s="14">
        <v>0</v>
      </c>
      <c r="F419" s="14">
        <v>1</v>
      </c>
      <c r="G419" s="14">
        <v>1</v>
      </c>
      <c r="H419" s="28">
        <v>0</v>
      </c>
      <c r="I419" s="14">
        <v>1</v>
      </c>
      <c r="J419" s="24">
        <v>4</v>
      </c>
    </row>
    <row r="420" spans="1:10" x14ac:dyDescent="0.35">
      <c r="A420" s="12">
        <v>11</v>
      </c>
      <c r="B420" s="14">
        <v>35</v>
      </c>
      <c r="C420" s="14">
        <v>11</v>
      </c>
      <c r="D420" s="27">
        <v>0</v>
      </c>
      <c r="E420" s="14">
        <v>1</v>
      </c>
      <c r="F420" s="14">
        <v>0</v>
      </c>
      <c r="G420" s="14">
        <v>0</v>
      </c>
      <c r="H420" s="28">
        <v>0</v>
      </c>
      <c r="I420" s="14">
        <v>1</v>
      </c>
      <c r="J420" s="24">
        <v>3</v>
      </c>
    </row>
    <row r="421" spans="1:10" x14ac:dyDescent="0.35">
      <c r="A421" s="12">
        <v>12</v>
      </c>
      <c r="B421" s="14">
        <v>35</v>
      </c>
      <c r="C421" s="14">
        <v>12</v>
      </c>
      <c r="D421" s="27">
        <v>0</v>
      </c>
      <c r="E421" s="14">
        <v>1</v>
      </c>
      <c r="F421" s="14">
        <v>0</v>
      </c>
      <c r="G421" s="14">
        <v>1</v>
      </c>
      <c r="H421" s="28">
        <v>0</v>
      </c>
      <c r="I421" s="14">
        <v>0</v>
      </c>
      <c r="J421" s="24">
        <v>6</v>
      </c>
    </row>
    <row r="422" spans="1:10" x14ac:dyDescent="0.35">
      <c r="A422" s="12">
        <v>1</v>
      </c>
      <c r="B422" s="14">
        <v>36</v>
      </c>
      <c r="C422" s="14">
        <v>1</v>
      </c>
      <c r="D422" s="27">
        <v>1</v>
      </c>
      <c r="E422" s="14">
        <v>1</v>
      </c>
      <c r="F422" s="14">
        <v>0</v>
      </c>
      <c r="G422" s="14">
        <v>1</v>
      </c>
      <c r="H422" s="28">
        <v>1</v>
      </c>
      <c r="I422" s="14">
        <v>0</v>
      </c>
      <c r="J422" s="24">
        <v>5</v>
      </c>
    </row>
    <row r="423" spans="1:10" x14ac:dyDescent="0.35">
      <c r="A423" s="12">
        <v>2</v>
      </c>
      <c r="B423" s="14">
        <v>36</v>
      </c>
      <c r="C423" s="14">
        <v>2</v>
      </c>
      <c r="D423" s="27">
        <v>1</v>
      </c>
      <c r="E423" s="14">
        <v>1</v>
      </c>
      <c r="F423" s="14">
        <v>1</v>
      </c>
      <c r="G423" s="14">
        <v>0</v>
      </c>
      <c r="H423" s="28">
        <v>0</v>
      </c>
      <c r="I423" s="14">
        <v>1</v>
      </c>
      <c r="J423" s="24">
        <v>4</v>
      </c>
    </row>
    <row r="424" spans="1:10" x14ac:dyDescent="0.35">
      <c r="A424" s="12">
        <v>3</v>
      </c>
      <c r="B424" s="14">
        <v>36</v>
      </c>
      <c r="C424" s="14">
        <v>3</v>
      </c>
      <c r="D424" s="27">
        <v>0</v>
      </c>
      <c r="E424" s="14">
        <v>0</v>
      </c>
      <c r="F424" s="14">
        <v>1</v>
      </c>
      <c r="G424" s="14">
        <v>1</v>
      </c>
      <c r="H424" s="28">
        <v>1</v>
      </c>
      <c r="I424" s="14">
        <v>0</v>
      </c>
      <c r="J424" s="24">
        <v>3</v>
      </c>
    </row>
    <row r="425" spans="1:10" x14ac:dyDescent="0.35">
      <c r="A425" s="12">
        <v>4</v>
      </c>
      <c r="B425" s="14">
        <v>36</v>
      </c>
      <c r="C425" s="14">
        <v>4</v>
      </c>
      <c r="D425" s="27">
        <v>1</v>
      </c>
      <c r="E425" s="14">
        <v>1</v>
      </c>
      <c r="F425" s="14">
        <v>1</v>
      </c>
      <c r="G425" s="14">
        <v>1</v>
      </c>
      <c r="H425" s="28">
        <v>0</v>
      </c>
      <c r="I425" s="14">
        <v>0</v>
      </c>
      <c r="J425" s="24">
        <v>7</v>
      </c>
    </row>
    <row r="426" spans="1:10" x14ac:dyDescent="0.35">
      <c r="A426" s="12">
        <v>5</v>
      </c>
      <c r="B426" s="14">
        <v>36</v>
      </c>
      <c r="C426" s="14">
        <v>5</v>
      </c>
      <c r="D426" s="27">
        <v>1</v>
      </c>
      <c r="E426" s="14">
        <v>0</v>
      </c>
      <c r="F426" s="14">
        <v>1</v>
      </c>
      <c r="G426" s="14">
        <v>0</v>
      </c>
      <c r="H426" s="28">
        <v>0</v>
      </c>
      <c r="I426" s="14">
        <v>0</v>
      </c>
      <c r="J426" s="24">
        <v>5</v>
      </c>
    </row>
    <row r="427" spans="1:10" x14ac:dyDescent="0.35">
      <c r="A427" s="12">
        <v>6</v>
      </c>
      <c r="B427" s="14">
        <v>36</v>
      </c>
      <c r="C427" s="14">
        <v>6</v>
      </c>
      <c r="D427" s="27">
        <v>1</v>
      </c>
      <c r="E427" s="14">
        <v>0</v>
      </c>
      <c r="F427" s="14">
        <v>0</v>
      </c>
      <c r="G427" s="14">
        <v>0</v>
      </c>
      <c r="H427" s="28">
        <v>1</v>
      </c>
      <c r="I427" s="14">
        <v>0</v>
      </c>
      <c r="J427" s="24">
        <v>3</v>
      </c>
    </row>
    <row r="428" spans="1:10" x14ac:dyDescent="0.35">
      <c r="A428" s="12">
        <v>7</v>
      </c>
      <c r="B428" s="14">
        <v>36</v>
      </c>
      <c r="C428" s="14">
        <v>7</v>
      </c>
      <c r="D428" s="27">
        <v>0</v>
      </c>
      <c r="E428" s="14">
        <v>1</v>
      </c>
      <c r="F428" s="14">
        <v>1</v>
      </c>
      <c r="G428" s="14">
        <v>0</v>
      </c>
      <c r="H428" s="28">
        <v>1</v>
      </c>
      <c r="I428" s="14">
        <v>0</v>
      </c>
      <c r="J428" s="24">
        <v>5</v>
      </c>
    </row>
    <row r="429" spans="1:10" x14ac:dyDescent="0.35">
      <c r="A429" s="12">
        <v>8</v>
      </c>
      <c r="B429" s="14">
        <v>36</v>
      </c>
      <c r="C429" s="14">
        <v>8</v>
      </c>
      <c r="D429" s="27">
        <v>0</v>
      </c>
      <c r="E429" s="14">
        <v>0</v>
      </c>
      <c r="F429" s="14">
        <v>0</v>
      </c>
      <c r="G429" s="14">
        <v>0</v>
      </c>
      <c r="H429" s="28">
        <v>0</v>
      </c>
      <c r="I429" s="14">
        <v>0</v>
      </c>
      <c r="J429" s="24">
        <v>6</v>
      </c>
    </row>
    <row r="430" spans="1:10" x14ac:dyDescent="0.35">
      <c r="A430" s="12">
        <v>9</v>
      </c>
      <c r="B430" s="14">
        <v>36</v>
      </c>
      <c r="C430" s="14">
        <v>9</v>
      </c>
      <c r="D430" s="27">
        <v>1</v>
      </c>
      <c r="E430" s="14">
        <v>0</v>
      </c>
      <c r="F430" s="14">
        <v>0</v>
      </c>
      <c r="G430" s="14">
        <v>1</v>
      </c>
      <c r="H430" s="28">
        <v>0</v>
      </c>
      <c r="I430" s="14">
        <v>1</v>
      </c>
      <c r="J430" s="24">
        <v>3</v>
      </c>
    </row>
    <row r="431" spans="1:10" x14ac:dyDescent="0.35">
      <c r="A431" s="12">
        <v>10</v>
      </c>
      <c r="B431" s="14">
        <v>36</v>
      </c>
      <c r="C431" s="14">
        <v>10</v>
      </c>
      <c r="D431" s="27">
        <v>0</v>
      </c>
      <c r="E431" s="14">
        <v>0</v>
      </c>
      <c r="F431" s="14">
        <v>1</v>
      </c>
      <c r="G431" s="14">
        <v>1</v>
      </c>
      <c r="H431" s="28">
        <v>0</v>
      </c>
      <c r="I431" s="14">
        <v>1</v>
      </c>
      <c r="J431" s="24">
        <v>4</v>
      </c>
    </row>
    <row r="432" spans="1:10" x14ac:dyDescent="0.35">
      <c r="A432" s="12">
        <v>11</v>
      </c>
      <c r="B432" s="14">
        <v>36</v>
      </c>
      <c r="C432" s="14">
        <v>11</v>
      </c>
      <c r="D432" s="27">
        <v>0</v>
      </c>
      <c r="E432" s="14">
        <v>1</v>
      </c>
      <c r="F432" s="14">
        <v>0</v>
      </c>
      <c r="G432" s="14">
        <v>0</v>
      </c>
      <c r="H432" s="28">
        <v>0</v>
      </c>
      <c r="I432" s="14">
        <v>1</v>
      </c>
      <c r="J432" s="24">
        <v>2</v>
      </c>
    </row>
    <row r="433" spans="1:10" x14ac:dyDescent="0.35">
      <c r="A433" s="12">
        <v>12</v>
      </c>
      <c r="B433" s="14">
        <v>36</v>
      </c>
      <c r="C433" s="14">
        <v>12</v>
      </c>
      <c r="D433" s="27">
        <v>0</v>
      </c>
      <c r="E433" s="14">
        <v>1</v>
      </c>
      <c r="F433" s="14">
        <v>0</v>
      </c>
      <c r="G433" s="14">
        <v>1</v>
      </c>
      <c r="H433" s="28">
        <v>0</v>
      </c>
      <c r="I433" s="14">
        <v>0</v>
      </c>
      <c r="J433" s="24">
        <v>7</v>
      </c>
    </row>
    <row r="434" spans="1:10" x14ac:dyDescent="0.35">
      <c r="A434" s="12">
        <v>1</v>
      </c>
      <c r="B434" s="14">
        <v>37</v>
      </c>
      <c r="C434" s="14">
        <v>1</v>
      </c>
      <c r="D434" s="27">
        <v>1</v>
      </c>
      <c r="E434" s="14">
        <v>1</v>
      </c>
      <c r="F434" s="14">
        <v>0</v>
      </c>
      <c r="G434" s="14">
        <v>1</v>
      </c>
      <c r="H434" s="28">
        <v>1</v>
      </c>
      <c r="I434" s="14">
        <v>0</v>
      </c>
      <c r="J434" s="24">
        <v>6</v>
      </c>
    </row>
    <row r="435" spans="1:10" x14ac:dyDescent="0.35">
      <c r="A435" s="12">
        <v>2</v>
      </c>
      <c r="B435" s="14">
        <v>37</v>
      </c>
      <c r="C435" s="14">
        <v>2</v>
      </c>
      <c r="D435" s="27">
        <v>1</v>
      </c>
      <c r="E435" s="14">
        <v>1</v>
      </c>
      <c r="F435" s="14">
        <v>1</v>
      </c>
      <c r="G435" s="14">
        <v>0</v>
      </c>
      <c r="H435" s="28">
        <v>0</v>
      </c>
      <c r="I435" s="14">
        <v>1</v>
      </c>
      <c r="J435" s="24">
        <v>3</v>
      </c>
    </row>
    <row r="436" spans="1:10" x14ac:dyDescent="0.35">
      <c r="A436" s="12">
        <v>3</v>
      </c>
      <c r="B436" s="14">
        <v>37</v>
      </c>
      <c r="C436" s="14">
        <v>3</v>
      </c>
      <c r="D436" s="27">
        <v>0</v>
      </c>
      <c r="E436" s="14">
        <v>0</v>
      </c>
      <c r="F436" s="14">
        <v>1</v>
      </c>
      <c r="G436" s="14">
        <v>1</v>
      </c>
      <c r="H436" s="28">
        <v>1</v>
      </c>
      <c r="I436" s="14">
        <v>0</v>
      </c>
      <c r="J436" s="24">
        <v>3</v>
      </c>
    </row>
    <row r="437" spans="1:10" x14ac:dyDescent="0.35">
      <c r="A437" s="12">
        <v>4</v>
      </c>
      <c r="B437" s="14">
        <v>37</v>
      </c>
      <c r="C437" s="14">
        <v>4</v>
      </c>
      <c r="D437" s="27">
        <v>1</v>
      </c>
      <c r="E437" s="14">
        <v>1</v>
      </c>
      <c r="F437" s="14">
        <v>1</v>
      </c>
      <c r="G437" s="14">
        <v>1</v>
      </c>
      <c r="H437" s="28">
        <v>0</v>
      </c>
      <c r="I437" s="14">
        <v>0</v>
      </c>
      <c r="J437" s="24">
        <v>6</v>
      </c>
    </row>
    <row r="438" spans="1:10" x14ac:dyDescent="0.35">
      <c r="A438" s="12">
        <v>5</v>
      </c>
      <c r="B438" s="14">
        <v>37</v>
      </c>
      <c r="C438" s="14">
        <v>5</v>
      </c>
      <c r="D438" s="27">
        <v>1</v>
      </c>
      <c r="E438" s="14">
        <v>0</v>
      </c>
      <c r="F438" s="14">
        <v>1</v>
      </c>
      <c r="G438" s="14">
        <v>0</v>
      </c>
      <c r="H438" s="28">
        <v>0</v>
      </c>
      <c r="I438" s="14">
        <v>0</v>
      </c>
      <c r="J438" s="24">
        <v>4</v>
      </c>
    </row>
    <row r="439" spans="1:10" x14ac:dyDescent="0.35">
      <c r="A439" s="12">
        <v>6</v>
      </c>
      <c r="B439" s="14">
        <v>37</v>
      </c>
      <c r="C439" s="14">
        <v>6</v>
      </c>
      <c r="D439" s="27">
        <v>1</v>
      </c>
      <c r="E439" s="14">
        <v>0</v>
      </c>
      <c r="F439" s="14">
        <v>0</v>
      </c>
      <c r="G439" s="14">
        <v>0</v>
      </c>
      <c r="H439" s="28">
        <v>1</v>
      </c>
      <c r="I439" s="14">
        <v>0</v>
      </c>
      <c r="J439" s="24">
        <v>3</v>
      </c>
    </row>
    <row r="440" spans="1:10" x14ac:dyDescent="0.35">
      <c r="A440" s="12">
        <v>7</v>
      </c>
      <c r="B440" s="14">
        <v>37</v>
      </c>
      <c r="C440" s="14">
        <v>7</v>
      </c>
      <c r="D440" s="27">
        <v>0</v>
      </c>
      <c r="E440" s="14">
        <v>1</v>
      </c>
      <c r="F440" s="14">
        <v>1</v>
      </c>
      <c r="G440" s="14">
        <v>0</v>
      </c>
      <c r="H440" s="28">
        <v>1</v>
      </c>
      <c r="I440" s="14">
        <v>0</v>
      </c>
      <c r="J440" s="24">
        <v>4</v>
      </c>
    </row>
    <row r="441" spans="1:10" x14ac:dyDescent="0.35">
      <c r="A441" s="12">
        <v>8</v>
      </c>
      <c r="B441" s="14">
        <v>37</v>
      </c>
      <c r="C441" s="14">
        <v>8</v>
      </c>
      <c r="D441" s="27">
        <v>0</v>
      </c>
      <c r="E441" s="14">
        <v>0</v>
      </c>
      <c r="F441" s="14">
        <v>0</v>
      </c>
      <c r="G441" s="14">
        <v>0</v>
      </c>
      <c r="H441" s="28">
        <v>0</v>
      </c>
      <c r="I441" s="14">
        <v>0</v>
      </c>
      <c r="J441" s="24">
        <v>5</v>
      </c>
    </row>
    <row r="442" spans="1:10" x14ac:dyDescent="0.35">
      <c r="A442" s="12">
        <v>9</v>
      </c>
      <c r="B442" s="14">
        <v>37</v>
      </c>
      <c r="C442" s="14">
        <v>9</v>
      </c>
      <c r="D442" s="27">
        <v>1</v>
      </c>
      <c r="E442" s="14">
        <v>0</v>
      </c>
      <c r="F442" s="14">
        <v>0</v>
      </c>
      <c r="G442" s="14">
        <v>1</v>
      </c>
      <c r="H442" s="28">
        <v>0</v>
      </c>
      <c r="I442" s="14">
        <v>1</v>
      </c>
      <c r="J442" s="24">
        <v>2</v>
      </c>
    </row>
    <row r="443" spans="1:10" x14ac:dyDescent="0.35">
      <c r="A443" s="12">
        <v>10</v>
      </c>
      <c r="B443" s="14">
        <v>37</v>
      </c>
      <c r="C443" s="14">
        <v>10</v>
      </c>
      <c r="D443" s="27">
        <v>0</v>
      </c>
      <c r="E443" s="14">
        <v>0</v>
      </c>
      <c r="F443" s="14">
        <v>1</v>
      </c>
      <c r="G443" s="14">
        <v>1</v>
      </c>
      <c r="H443" s="28">
        <v>0</v>
      </c>
      <c r="I443" s="14">
        <v>1</v>
      </c>
      <c r="J443" s="24">
        <v>3</v>
      </c>
    </row>
    <row r="444" spans="1:10" x14ac:dyDescent="0.35">
      <c r="A444" s="12">
        <v>11</v>
      </c>
      <c r="B444" s="14">
        <v>37</v>
      </c>
      <c r="C444" s="14">
        <v>11</v>
      </c>
      <c r="D444" s="27">
        <v>0</v>
      </c>
      <c r="E444" s="14">
        <v>1</v>
      </c>
      <c r="F444" s="14">
        <v>0</v>
      </c>
      <c r="G444" s="14">
        <v>0</v>
      </c>
      <c r="H444" s="28">
        <v>0</v>
      </c>
      <c r="I444" s="14">
        <v>1</v>
      </c>
      <c r="J444" s="24">
        <v>2</v>
      </c>
    </row>
    <row r="445" spans="1:10" x14ac:dyDescent="0.35">
      <c r="A445" s="12">
        <v>12</v>
      </c>
      <c r="B445" s="14">
        <v>37</v>
      </c>
      <c r="C445" s="14">
        <v>12</v>
      </c>
      <c r="D445" s="27">
        <v>0</v>
      </c>
      <c r="E445" s="14">
        <v>1</v>
      </c>
      <c r="F445" s="14">
        <v>0</v>
      </c>
      <c r="G445" s="14">
        <v>1</v>
      </c>
      <c r="H445" s="28">
        <v>0</v>
      </c>
      <c r="I445" s="14">
        <v>0</v>
      </c>
      <c r="J445" s="24">
        <v>7</v>
      </c>
    </row>
    <row r="446" spans="1:10" x14ac:dyDescent="0.35">
      <c r="A446" s="12">
        <v>1</v>
      </c>
      <c r="B446" s="14">
        <v>38</v>
      </c>
      <c r="C446" s="14">
        <v>1</v>
      </c>
      <c r="D446" s="27">
        <v>1</v>
      </c>
      <c r="E446" s="14">
        <v>1</v>
      </c>
      <c r="F446" s="14">
        <v>0</v>
      </c>
      <c r="G446" s="14">
        <v>1</v>
      </c>
      <c r="H446" s="28">
        <v>1</v>
      </c>
      <c r="I446" s="14">
        <v>0</v>
      </c>
      <c r="J446" s="24">
        <v>5</v>
      </c>
    </row>
    <row r="447" spans="1:10" x14ac:dyDescent="0.35">
      <c r="A447" s="12">
        <v>2</v>
      </c>
      <c r="B447" s="14">
        <v>38</v>
      </c>
      <c r="C447" s="14">
        <v>2</v>
      </c>
      <c r="D447" s="27">
        <v>1</v>
      </c>
      <c r="E447" s="14">
        <v>1</v>
      </c>
      <c r="F447" s="14">
        <v>1</v>
      </c>
      <c r="G447" s="14">
        <v>0</v>
      </c>
      <c r="H447" s="28">
        <v>0</v>
      </c>
      <c r="I447" s="14">
        <v>1</v>
      </c>
      <c r="J447" s="24">
        <v>4</v>
      </c>
    </row>
    <row r="448" spans="1:10" x14ac:dyDescent="0.35">
      <c r="A448" s="12">
        <v>3</v>
      </c>
      <c r="B448" s="14">
        <v>38</v>
      </c>
      <c r="C448" s="14">
        <v>3</v>
      </c>
      <c r="D448" s="27">
        <v>0</v>
      </c>
      <c r="E448" s="14">
        <v>0</v>
      </c>
      <c r="F448" s="14">
        <v>1</v>
      </c>
      <c r="G448" s="14">
        <v>1</v>
      </c>
      <c r="H448" s="28">
        <v>1</v>
      </c>
      <c r="I448" s="14">
        <v>0</v>
      </c>
      <c r="J448" s="24">
        <v>4</v>
      </c>
    </row>
    <row r="449" spans="1:10" x14ac:dyDescent="0.35">
      <c r="A449" s="12">
        <v>4</v>
      </c>
      <c r="B449" s="14">
        <v>38</v>
      </c>
      <c r="C449" s="14">
        <v>4</v>
      </c>
      <c r="D449" s="27">
        <v>1</v>
      </c>
      <c r="E449" s="14">
        <v>1</v>
      </c>
      <c r="F449" s="14">
        <v>1</v>
      </c>
      <c r="G449" s="14">
        <v>1</v>
      </c>
      <c r="H449" s="28">
        <v>0</v>
      </c>
      <c r="I449" s="14">
        <v>0</v>
      </c>
      <c r="J449" s="24">
        <v>6</v>
      </c>
    </row>
    <row r="450" spans="1:10" x14ac:dyDescent="0.35">
      <c r="A450" s="12">
        <v>5</v>
      </c>
      <c r="B450" s="14">
        <v>38</v>
      </c>
      <c r="C450" s="14">
        <v>5</v>
      </c>
      <c r="D450" s="27">
        <v>1</v>
      </c>
      <c r="E450" s="14">
        <v>0</v>
      </c>
      <c r="F450" s="14">
        <v>1</v>
      </c>
      <c r="G450" s="14">
        <v>0</v>
      </c>
      <c r="H450" s="28">
        <v>0</v>
      </c>
      <c r="I450" s="14">
        <v>0</v>
      </c>
      <c r="J450" s="24">
        <v>5</v>
      </c>
    </row>
    <row r="451" spans="1:10" x14ac:dyDescent="0.35">
      <c r="A451" s="12">
        <v>6</v>
      </c>
      <c r="B451" s="14">
        <v>38</v>
      </c>
      <c r="C451" s="14">
        <v>6</v>
      </c>
      <c r="D451" s="27">
        <v>1</v>
      </c>
      <c r="E451" s="14">
        <v>0</v>
      </c>
      <c r="F451" s="14">
        <v>0</v>
      </c>
      <c r="G451" s="14">
        <v>0</v>
      </c>
      <c r="H451" s="28">
        <v>1</v>
      </c>
      <c r="I451" s="14">
        <v>0</v>
      </c>
      <c r="J451" s="24">
        <v>3</v>
      </c>
    </row>
    <row r="452" spans="1:10" x14ac:dyDescent="0.35">
      <c r="A452" s="12">
        <v>7</v>
      </c>
      <c r="B452" s="14">
        <v>38</v>
      </c>
      <c r="C452" s="14">
        <v>7</v>
      </c>
      <c r="D452" s="27">
        <v>0</v>
      </c>
      <c r="E452" s="14">
        <v>1</v>
      </c>
      <c r="F452" s="14">
        <v>1</v>
      </c>
      <c r="G452" s="14">
        <v>0</v>
      </c>
      <c r="H452" s="28">
        <v>1</v>
      </c>
      <c r="I452" s="14">
        <v>0</v>
      </c>
      <c r="J452" s="24">
        <v>4</v>
      </c>
    </row>
    <row r="453" spans="1:10" x14ac:dyDescent="0.35">
      <c r="A453" s="12">
        <v>8</v>
      </c>
      <c r="B453" s="14">
        <v>38</v>
      </c>
      <c r="C453" s="14">
        <v>8</v>
      </c>
      <c r="D453" s="27">
        <v>0</v>
      </c>
      <c r="E453" s="14">
        <v>0</v>
      </c>
      <c r="F453" s="14">
        <v>0</v>
      </c>
      <c r="G453" s="14">
        <v>0</v>
      </c>
      <c r="H453" s="28">
        <v>0</v>
      </c>
      <c r="I453" s="14">
        <v>0</v>
      </c>
      <c r="J453" s="24">
        <v>5</v>
      </c>
    </row>
    <row r="454" spans="1:10" x14ac:dyDescent="0.35">
      <c r="A454" s="12">
        <v>9</v>
      </c>
      <c r="B454" s="14">
        <v>38</v>
      </c>
      <c r="C454" s="14">
        <v>9</v>
      </c>
      <c r="D454" s="27">
        <v>1</v>
      </c>
      <c r="E454" s="14">
        <v>0</v>
      </c>
      <c r="F454" s="14">
        <v>0</v>
      </c>
      <c r="G454" s="14">
        <v>1</v>
      </c>
      <c r="H454" s="28">
        <v>0</v>
      </c>
      <c r="I454" s="14">
        <v>1</v>
      </c>
      <c r="J454" s="24">
        <v>3</v>
      </c>
    </row>
    <row r="455" spans="1:10" x14ac:dyDescent="0.35">
      <c r="A455" s="12">
        <v>10</v>
      </c>
      <c r="B455" s="14">
        <v>38</v>
      </c>
      <c r="C455" s="14">
        <v>10</v>
      </c>
      <c r="D455" s="27">
        <v>0</v>
      </c>
      <c r="E455" s="14">
        <v>0</v>
      </c>
      <c r="F455" s="14">
        <v>1</v>
      </c>
      <c r="G455" s="14">
        <v>1</v>
      </c>
      <c r="H455" s="28">
        <v>0</v>
      </c>
      <c r="I455" s="14">
        <v>1</v>
      </c>
      <c r="J455" s="24">
        <v>4</v>
      </c>
    </row>
    <row r="456" spans="1:10" x14ac:dyDescent="0.35">
      <c r="A456" s="12">
        <v>11</v>
      </c>
      <c r="B456" s="14">
        <v>38</v>
      </c>
      <c r="C456" s="14">
        <v>11</v>
      </c>
      <c r="D456" s="27">
        <v>0</v>
      </c>
      <c r="E456" s="14">
        <v>1</v>
      </c>
      <c r="F456" s="14">
        <v>0</v>
      </c>
      <c r="G456" s="14">
        <v>0</v>
      </c>
      <c r="H456" s="28">
        <v>0</v>
      </c>
      <c r="I456" s="14">
        <v>1</v>
      </c>
      <c r="J456" s="24">
        <v>3</v>
      </c>
    </row>
    <row r="457" spans="1:10" x14ac:dyDescent="0.35">
      <c r="A457" s="12">
        <v>12</v>
      </c>
      <c r="B457" s="14">
        <v>38</v>
      </c>
      <c r="C457" s="14">
        <v>12</v>
      </c>
      <c r="D457" s="27">
        <v>0</v>
      </c>
      <c r="E457" s="14">
        <v>1</v>
      </c>
      <c r="F457" s="14">
        <v>0</v>
      </c>
      <c r="G457" s="14">
        <v>1</v>
      </c>
      <c r="H457" s="28">
        <v>0</v>
      </c>
      <c r="I457" s="14">
        <v>0</v>
      </c>
      <c r="J457" s="24">
        <v>7</v>
      </c>
    </row>
    <row r="458" spans="1:10" x14ac:dyDescent="0.35">
      <c r="A458" s="12">
        <v>1</v>
      </c>
      <c r="B458" s="14">
        <v>39</v>
      </c>
      <c r="C458" s="14">
        <v>1</v>
      </c>
      <c r="D458" s="27">
        <v>1</v>
      </c>
      <c r="E458" s="14">
        <v>1</v>
      </c>
      <c r="F458" s="14">
        <v>0</v>
      </c>
      <c r="G458" s="14">
        <v>1</v>
      </c>
      <c r="H458" s="28">
        <v>1</v>
      </c>
      <c r="I458" s="14">
        <v>0</v>
      </c>
      <c r="J458" s="24">
        <v>6</v>
      </c>
    </row>
    <row r="459" spans="1:10" x14ac:dyDescent="0.35">
      <c r="A459" s="12">
        <v>2</v>
      </c>
      <c r="B459" s="14">
        <v>39</v>
      </c>
      <c r="C459" s="14">
        <v>2</v>
      </c>
      <c r="D459" s="27">
        <v>1</v>
      </c>
      <c r="E459" s="14">
        <v>1</v>
      </c>
      <c r="F459" s="14">
        <v>1</v>
      </c>
      <c r="G459" s="14">
        <v>0</v>
      </c>
      <c r="H459" s="28">
        <v>0</v>
      </c>
      <c r="I459" s="14">
        <v>1</v>
      </c>
      <c r="J459" s="24">
        <v>3</v>
      </c>
    </row>
    <row r="460" spans="1:10" x14ac:dyDescent="0.35">
      <c r="A460" s="12">
        <v>3</v>
      </c>
      <c r="B460" s="14">
        <v>39</v>
      </c>
      <c r="C460" s="14">
        <v>3</v>
      </c>
      <c r="D460" s="27">
        <v>0</v>
      </c>
      <c r="E460" s="14">
        <v>0</v>
      </c>
      <c r="F460" s="14">
        <v>1</v>
      </c>
      <c r="G460" s="14">
        <v>1</v>
      </c>
      <c r="H460" s="28">
        <v>1</v>
      </c>
      <c r="I460" s="14">
        <v>0</v>
      </c>
      <c r="J460" s="24">
        <v>3</v>
      </c>
    </row>
    <row r="461" spans="1:10" x14ac:dyDescent="0.35">
      <c r="A461" s="12">
        <v>4</v>
      </c>
      <c r="B461" s="14">
        <v>39</v>
      </c>
      <c r="C461" s="14">
        <v>4</v>
      </c>
      <c r="D461" s="27">
        <v>1</v>
      </c>
      <c r="E461" s="14">
        <v>1</v>
      </c>
      <c r="F461" s="14">
        <v>1</v>
      </c>
      <c r="G461" s="14">
        <v>1</v>
      </c>
      <c r="H461" s="28">
        <v>0</v>
      </c>
      <c r="I461" s="14">
        <v>0</v>
      </c>
      <c r="J461" s="24">
        <v>7</v>
      </c>
    </row>
    <row r="462" spans="1:10" x14ac:dyDescent="0.35">
      <c r="A462" s="12">
        <v>5</v>
      </c>
      <c r="B462" s="14">
        <v>39</v>
      </c>
      <c r="C462" s="14">
        <v>5</v>
      </c>
      <c r="D462" s="27">
        <v>1</v>
      </c>
      <c r="E462" s="14">
        <v>0</v>
      </c>
      <c r="F462" s="14">
        <v>1</v>
      </c>
      <c r="G462" s="14">
        <v>0</v>
      </c>
      <c r="H462" s="28">
        <v>0</v>
      </c>
      <c r="I462" s="14">
        <v>0</v>
      </c>
      <c r="J462" s="24">
        <v>5</v>
      </c>
    </row>
    <row r="463" spans="1:10" x14ac:dyDescent="0.35">
      <c r="A463" s="12">
        <v>6</v>
      </c>
      <c r="B463" s="14">
        <v>39</v>
      </c>
      <c r="C463" s="14">
        <v>6</v>
      </c>
      <c r="D463" s="27">
        <v>1</v>
      </c>
      <c r="E463" s="14">
        <v>0</v>
      </c>
      <c r="F463" s="14">
        <v>0</v>
      </c>
      <c r="G463" s="14">
        <v>0</v>
      </c>
      <c r="H463" s="28">
        <v>1</v>
      </c>
      <c r="I463" s="14">
        <v>0</v>
      </c>
      <c r="J463" s="24">
        <v>3</v>
      </c>
    </row>
    <row r="464" spans="1:10" x14ac:dyDescent="0.35">
      <c r="A464" s="12">
        <v>7</v>
      </c>
      <c r="B464" s="14">
        <v>39</v>
      </c>
      <c r="C464" s="14">
        <v>7</v>
      </c>
      <c r="D464" s="27">
        <v>0</v>
      </c>
      <c r="E464" s="14">
        <v>1</v>
      </c>
      <c r="F464" s="14">
        <v>1</v>
      </c>
      <c r="G464" s="14">
        <v>0</v>
      </c>
      <c r="H464" s="28">
        <v>1</v>
      </c>
      <c r="I464" s="14">
        <v>0</v>
      </c>
      <c r="J464" s="24">
        <v>4</v>
      </c>
    </row>
    <row r="465" spans="1:10" x14ac:dyDescent="0.35">
      <c r="A465" s="12">
        <v>8</v>
      </c>
      <c r="B465" s="14">
        <v>39</v>
      </c>
      <c r="C465" s="14">
        <v>8</v>
      </c>
      <c r="D465" s="27">
        <v>0</v>
      </c>
      <c r="E465" s="14">
        <v>0</v>
      </c>
      <c r="F465" s="14">
        <v>0</v>
      </c>
      <c r="G465" s="14">
        <v>0</v>
      </c>
      <c r="H465" s="28">
        <v>0</v>
      </c>
      <c r="I465" s="14">
        <v>0</v>
      </c>
      <c r="J465" s="24">
        <v>6</v>
      </c>
    </row>
    <row r="466" spans="1:10" x14ac:dyDescent="0.35">
      <c r="A466" s="12">
        <v>9</v>
      </c>
      <c r="B466" s="14">
        <v>39</v>
      </c>
      <c r="C466" s="14">
        <v>9</v>
      </c>
      <c r="D466" s="27">
        <v>1</v>
      </c>
      <c r="E466" s="14">
        <v>0</v>
      </c>
      <c r="F466" s="14">
        <v>0</v>
      </c>
      <c r="G466" s="14">
        <v>1</v>
      </c>
      <c r="H466" s="28">
        <v>0</v>
      </c>
      <c r="I466" s="14">
        <v>1</v>
      </c>
      <c r="J466" s="24">
        <v>2</v>
      </c>
    </row>
    <row r="467" spans="1:10" x14ac:dyDescent="0.35">
      <c r="A467" s="12">
        <v>10</v>
      </c>
      <c r="B467" s="14">
        <v>39</v>
      </c>
      <c r="C467" s="14">
        <v>10</v>
      </c>
      <c r="D467" s="27">
        <v>0</v>
      </c>
      <c r="E467" s="14">
        <v>0</v>
      </c>
      <c r="F467" s="14">
        <v>1</v>
      </c>
      <c r="G467" s="14">
        <v>1</v>
      </c>
      <c r="H467" s="28">
        <v>0</v>
      </c>
      <c r="I467" s="14">
        <v>1</v>
      </c>
      <c r="J467" s="24">
        <v>3</v>
      </c>
    </row>
    <row r="468" spans="1:10" x14ac:dyDescent="0.35">
      <c r="A468" s="12">
        <v>11</v>
      </c>
      <c r="B468" s="14">
        <v>39</v>
      </c>
      <c r="C468" s="14">
        <v>11</v>
      </c>
      <c r="D468" s="27">
        <v>0</v>
      </c>
      <c r="E468" s="14">
        <v>1</v>
      </c>
      <c r="F468" s="14">
        <v>0</v>
      </c>
      <c r="G468" s="14">
        <v>0</v>
      </c>
      <c r="H468" s="28">
        <v>0</v>
      </c>
      <c r="I468" s="14">
        <v>1</v>
      </c>
      <c r="J468" s="24">
        <v>3</v>
      </c>
    </row>
    <row r="469" spans="1:10" x14ac:dyDescent="0.35">
      <c r="A469" s="12">
        <v>12</v>
      </c>
      <c r="B469" s="14">
        <v>39</v>
      </c>
      <c r="C469" s="14">
        <v>12</v>
      </c>
      <c r="D469" s="27">
        <v>0</v>
      </c>
      <c r="E469" s="14">
        <v>1</v>
      </c>
      <c r="F469" s="14">
        <v>0</v>
      </c>
      <c r="G469" s="14">
        <v>1</v>
      </c>
      <c r="H469" s="28">
        <v>0</v>
      </c>
      <c r="I469" s="14">
        <v>0</v>
      </c>
      <c r="J469" s="24">
        <v>6</v>
      </c>
    </row>
    <row r="470" spans="1:10" x14ac:dyDescent="0.35">
      <c r="A470" s="12">
        <v>1</v>
      </c>
      <c r="B470" s="14">
        <v>40</v>
      </c>
      <c r="C470" s="14">
        <v>1</v>
      </c>
      <c r="D470" s="27">
        <v>1</v>
      </c>
      <c r="E470" s="14">
        <v>1</v>
      </c>
      <c r="F470" s="14">
        <v>0</v>
      </c>
      <c r="G470" s="14">
        <v>1</v>
      </c>
      <c r="H470" s="28">
        <v>1</v>
      </c>
      <c r="I470" s="14">
        <v>0</v>
      </c>
      <c r="J470" s="24">
        <v>5</v>
      </c>
    </row>
    <row r="471" spans="1:10" x14ac:dyDescent="0.35">
      <c r="A471" s="12">
        <v>2</v>
      </c>
      <c r="B471" s="14">
        <v>40</v>
      </c>
      <c r="C471" s="14">
        <v>2</v>
      </c>
      <c r="D471" s="27">
        <v>1</v>
      </c>
      <c r="E471" s="14">
        <v>1</v>
      </c>
      <c r="F471" s="14">
        <v>1</v>
      </c>
      <c r="G471" s="14">
        <v>0</v>
      </c>
      <c r="H471" s="28">
        <v>0</v>
      </c>
      <c r="I471" s="14">
        <v>1</v>
      </c>
      <c r="J471" s="24">
        <v>3</v>
      </c>
    </row>
    <row r="472" spans="1:10" x14ac:dyDescent="0.35">
      <c r="A472" s="12">
        <v>3</v>
      </c>
      <c r="B472" s="14">
        <v>40</v>
      </c>
      <c r="C472" s="14">
        <v>3</v>
      </c>
      <c r="D472" s="27">
        <v>0</v>
      </c>
      <c r="E472" s="14">
        <v>0</v>
      </c>
      <c r="F472" s="14">
        <v>1</v>
      </c>
      <c r="G472" s="14">
        <v>1</v>
      </c>
      <c r="H472" s="28">
        <v>1</v>
      </c>
      <c r="I472" s="14">
        <v>0</v>
      </c>
      <c r="J472" s="24">
        <v>4</v>
      </c>
    </row>
    <row r="473" spans="1:10" x14ac:dyDescent="0.35">
      <c r="A473" s="12">
        <v>4</v>
      </c>
      <c r="B473" s="14">
        <v>40</v>
      </c>
      <c r="C473" s="14">
        <v>4</v>
      </c>
      <c r="D473" s="27">
        <v>1</v>
      </c>
      <c r="E473" s="14">
        <v>1</v>
      </c>
      <c r="F473" s="14">
        <v>1</v>
      </c>
      <c r="G473" s="14">
        <v>1</v>
      </c>
      <c r="H473" s="28">
        <v>0</v>
      </c>
      <c r="I473" s="14">
        <v>0</v>
      </c>
      <c r="J473" s="24">
        <v>6</v>
      </c>
    </row>
    <row r="474" spans="1:10" x14ac:dyDescent="0.35">
      <c r="A474" s="12">
        <v>5</v>
      </c>
      <c r="B474" s="14">
        <v>40</v>
      </c>
      <c r="C474" s="14">
        <v>5</v>
      </c>
      <c r="D474" s="27">
        <v>1</v>
      </c>
      <c r="E474" s="14">
        <v>0</v>
      </c>
      <c r="F474" s="14">
        <v>1</v>
      </c>
      <c r="G474" s="14">
        <v>0</v>
      </c>
      <c r="H474" s="28">
        <v>0</v>
      </c>
      <c r="I474" s="14">
        <v>0</v>
      </c>
      <c r="J474" s="24">
        <v>5</v>
      </c>
    </row>
    <row r="475" spans="1:10" x14ac:dyDescent="0.35">
      <c r="A475" s="12">
        <v>6</v>
      </c>
      <c r="B475" s="14">
        <v>40</v>
      </c>
      <c r="C475" s="14">
        <v>6</v>
      </c>
      <c r="D475" s="27">
        <v>1</v>
      </c>
      <c r="E475" s="14">
        <v>0</v>
      </c>
      <c r="F475" s="14">
        <v>0</v>
      </c>
      <c r="G475" s="14">
        <v>0</v>
      </c>
      <c r="H475" s="28">
        <v>1</v>
      </c>
      <c r="I475" s="14">
        <v>0</v>
      </c>
      <c r="J475" s="24">
        <v>3</v>
      </c>
    </row>
    <row r="476" spans="1:10" x14ac:dyDescent="0.35">
      <c r="A476" s="12">
        <v>7</v>
      </c>
      <c r="B476" s="14">
        <v>40</v>
      </c>
      <c r="C476" s="14">
        <v>7</v>
      </c>
      <c r="D476" s="27">
        <v>0</v>
      </c>
      <c r="E476" s="14">
        <v>1</v>
      </c>
      <c r="F476" s="14">
        <v>1</v>
      </c>
      <c r="G476" s="14">
        <v>0</v>
      </c>
      <c r="H476" s="28">
        <v>1</v>
      </c>
      <c r="I476" s="14">
        <v>0</v>
      </c>
      <c r="J476" s="24">
        <v>4</v>
      </c>
    </row>
    <row r="477" spans="1:10" x14ac:dyDescent="0.35">
      <c r="A477" s="12">
        <v>8</v>
      </c>
      <c r="B477" s="14">
        <v>40</v>
      </c>
      <c r="C477" s="14">
        <v>8</v>
      </c>
      <c r="D477" s="27">
        <v>0</v>
      </c>
      <c r="E477" s="14">
        <v>0</v>
      </c>
      <c r="F477" s="14">
        <v>0</v>
      </c>
      <c r="G477" s="14">
        <v>0</v>
      </c>
      <c r="H477" s="28">
        <v>0</v>
      </c>
      <c r="I477" s="14">
        <v>0</v>
      </c>
      <c r="J477" s="24">
        <v>5</v>
      </c>
    </row>
    <row r="478" spans="1:10" x14ac:dyDescent="0.35">
      <c r="A478" s="12">
        <v>9</v>
      </c>
      <c r="B478" s="14">
        <v>40</v>
      </c>
      <c r="C478" s="14">
        <v>9</v>
      </c>
      <c r="D478" s="27">
        <v>1</v>
      </c>
      <c r="E478" s="14">
        <v>0</v>
      </c>
      <c r="F478" s="14">
        <v>0</v>
      </c>
      <c r="G478" s="14">
        <v>1</v>
      </c>
      <c r="H478" s="28">
        <v>0</v>
      </c>
      <c r="I478" s="14">
        <v>1</v>
      </c>
      <c r="J478" s="24">
        <v>3</v>
      </c>
    </row>
    <row r="479" spans="1:10" x14ac:dyDescent="0.35">
      <c r="A479" s="12">
        <v>10</v>
      </c>
      <c r="B479" s="14">
        <v>40</v>
      </c>
      <c r="C479" s="14">
        <v>10</v>
      </c>
      <c r="D479" s="27">
        <v>0</v>
      </c>
      <c r="E479" s="14">
        <v>0</v>
      </c>
      <c r="F479" s="14">
        <v>1</v>
      </c>
      <c r="G479" s="14">
        <v>1</v>
      </c>
      <c r="H479" s="28">
        <v>0</v>
      </c>
      <c r="I479" s="14">
        <v>1</v>
      </c>
      <c r="J479" s="24">
        <v>4</v>
      </c>
    </row>
    <row r="480" spans="1:10" x14ac:dyDescent="0.35">
      <c r="A480" s="12">
        <v>11</v>
      </c>
      <c r="B480" s="14">
        <v>40</v>
      </c>
      <c r="C480" s="14">
        <v>11</v>
      </c>
      <c r="D480" s="27">
        <v>0</v>
      </c>
      <c r="E480" s="14">
        <v>1</v>
      </c>
      <c r="F480" s="14">
        <v>0</v>
      </c>
      <c r="G480" s="14">
        <v>0</v>
      </c>
      <c r="H480" s="28">
        <v>0</v>
      </c>
      <c r="I480" s="14">
        <v>1</v>
      </c>
      <c r="J480" s="24">
        <v>2</v>
      </c>
    </row>
    <row r="481" spans="1:10" x14ac:dyDescent="0.35">
      <c r="A481" s="12">
        <v>12</v>
      </c>
      <c r="B481" s="14">
        <v>40</v>
      </c>
      <c r="C481" s="14">
        <v>12</v>
      </c>
      <c r="D481" s="27">
        <v>0</v>
      </c>
      <c r="E481" s="14">
        <v>1</v>
      </c>
      <c r="F481" s="14">
        <v>0</v>
      </c>
      <c r="G481" s="14">
        <v>1</v>
      </c>
      <c r="H481" s="28">
        <v>0</v>
      </c>
      <c r="I481" s="14">
        <v>0</v>
      </c>
      <c r="J481" s="24">
        <v>7</v>
      </c>
    </row>
    <row r="482" spans="1:10" x14ac:dyDescent="0.35">
      <c r="A482" s="12">
        <v>1</v>
      </c>
      <c r="B482" s="14">
        <v>41</v>
      </c>
      <c r="C482" s="14">
        <v>1</v>
      </c>
      <c r="D482" s="27">
        <v>1</v>
      </c>
      <c r="E482" s="14">
        <v>1</v>
      </c>
      <c r="F482" s="14">
        <v>0</v>
      </c>
      <c r="G482" s="14">
        <v>1</v>
      </c>
      <c r="H482" s="28">
        <v>1</v>
      </c>
      <c r="I482" s="14">
        <v>0</v>
      </c>
      <c r="J482" s="24">
        <v>6</v>
      </c>
    </row>
    <row r="483" spans="1:10" x14ac:dyDescent="0.35">
      <c r="A483" s="12">
        <v>2</v>
      </c>
      <c r="B483" s="14">
        <v>41</v>
      </c>
      <c r="C483" s="14">
        <v>2</v>
      </c>
      <c r="D483" s="27">
        <v>1</v>
      </c>
      <c r="E483" s="14">
        <v>1</v>
      </c>
      <c r="F483" s="14">
        <v>1</v>
      </c>
      <c r="G483" s="14">
        <v>0</v>
      </c>
      <c r="H483" s="28">
        <v>0</v>
      </c>
      <c r="I483" s="14">
        <v>1</v>
      </c>
      <c r="J483" s="24">
        <v>3</v>
      </c>
    </row>
    <row r="484" spans="1:10" x14ac:dyDescent="0.35">
      <c r="A484" s="12">
        <v>3</v>
      </c>
      <c r="B484" s="14">
        <v>41</v>
      </c>
      <c r="C484" s="14">
        <v>3</v>
      </c>
      <c r="D484" s="27">
        <v>0</v>
      </c>
      <c r="E484" s="14">
        <v>0</v>
      </c>
      <c r="F484" s="14">
        <v>1</v>
      </c>
      <c r="G484" s="14">
        <v>1</v>
      </c>
      <c r="H484" s="28">
        <v>1</v>
      </c>
      <c r="I484" s="14">
        <v>0</v>
      </c>
      <c r="J484" s="24">
        <v>3</v>
      </c>
    </row>
    <row r="485" spans="1:10" x14ac:dyDescent="0.35">
      <c r="A485" s="12">
        <v>4</v>
      </c>
      <c r="B485" s="14">
        <v>41</v>
      </c>
      <c r="C485" s="14">
        <v>4</v>
      </c>
      <c r="D485" s="27">
        <v>1</v>
      </c>
      <c r="E485" s="14">
        <v>1</v>
      </c>
      <c r="F485" s="14">
        <v>1</v>
      </c>
      <c r="G485" s="14">
        <v>1</v>
      </c>
      <c r="H485" s="28">
        <v>0</v>
      </c>
      <c r="I485" s="14">
        <v>0</v>
      </c>
      <c r="J485" s="24">
        <v>7</v>
      </c>
    </row>
    <row r="486" spans="1:10" x14ac:dyDescent="0.35">
      <c r="A486" s="12">
        <v>5</v>
      </c>
      <c r="B486" s="14">
        <v>41</v>
      </c>
      <c r="C486" s="14">
        <v>5</v>
      </c>
      <c r="D486" s="27">
        <v>1</v>
      </c>
      <c r="E486" s="14">
        <v>0</v>
      </c>
      <c r="F486" s="14">
        <v>1</v>
      </c>
      <c r="G486" s="14">
        <v>0</v>
      </c>
      <c r="H486" s="28">
        <v>0</v>
      </c>
      <c r="I486" s="14">
        <v>0</v>
      </c>
      <c r="J486" s="24">
        <v>5</v>
      </c>
    </row>
    <row r="487" spans="1:10" x14ac:dyDescent="0.35">
      <c r="A487" s="12">
        <v>6</v>
      </c>
      <c r="B487" s="14">
        <v>41</v>
      </c>
      <c r="C487" s="14">
        <v>6</v>
      </c>
      <c r="D487" s="27">
        <v>1</v>
      </c>
      <c r="E487" s="14">
        <v>0</v>
      </c>
      <c r="F487" s="14">
        <v>0</v>
      </c>
      <c r="G487" s="14">
        <v>0</v>
      </c>
      <c r="H487" s="28">
        <v>1</v>
      </c>
      <c r="I487" s="14">
        <v>0</v>
      </c>
      <c r="J487" s="24">
        <v>3</v>
      </c>
    </row>
    <row r="488" spans="1:10" x14ac:dyDescent="0.35">
      <c r="A488" s="12">
        <v>7</v>
      </c>
      <c r="B488" s="14">
        <v>41</v>
      </c>
      <c r="C488" s="14">
        <v>7</v>
      </c>
      <c r="D488" s="27">
        <v>0</v>
      </c>
      <c r="E488" s="14">
        <v>1</v>
      </c>
      <c r="F488" s="14">
        <v>1</v>
      </c>
      <c r="G488" s="14">
        <v>0</v>
      </c>
      <c r="H488" s="28">
        <v>1</v>
      </c>
      <c r="I488" s="14">
        <v>0</v>
      </c>
      <c r="J488" s="24">
        <v>4</v>
      </c>
    </row>
    <row r="489" spans="1:10" x14ac:dyDescent="0.35">
      <c r="A489" s="12">
        <v>8</v>
      </c>
      <c r="B489" s="14">
        <v>41</v>
      </c>
      <c r="C489" s="14">
        <v>8</v>
      </c>
      <c r="D489" s="27">
        <v>0</v>
      </c>
      <c r="E489" s="14">
        <v>0</v>
      </c>
      <c r="F489" s="14">
        <v>0</v>
      </c>
      <c r="G489" s="14">
        <v>0</v>
      </c>
      <c r="H489" s="28">
        <v>0</v>
      </c>
      <c r="I489" s="14">
        <v>0</v>
      </c>
      <c r="J489" s="24">
        <v>6</v>
      </c>
    </row>
    <row r="490" spans="1:10" x14ac:dyDescent="0.35">
      <c r="A490" s="12">
        <v>9</v>
      </c>
      <c r="B490" s="14">
        <v>41</v>
      </c>
      <c r="C490" s="14">
        <v>9</v>
      </c>
      <c r="D490" s="27">
        <v>1</v>
      </c>
      <c r="E490" s="14">
        <v>0</v>
      </c>
      <c r="F490" s="14">
        <v>0</v>
      </c>
      <c r="G490" s="14">
        <v>1</v>
      </c>
      <c r="H490" s="28">
        <v>0</v>
      </c>
      <c r="I490" s="14">
        <v>1</v>
      </c>
      <c r="J490" s="24">
        <v>2</v>
      </c>
    </row>
    <row r="491" spans="1:10" x14ac:dyDescent="0.35">
      <c r="A491" s="12">
        <v>10</v>
      </c>
      <c r="B491" s="14">
        <v>41</v>
      </c>
      <c r="C491" s="14">
        <v>10</v>
      </c>
      <c r="D491" s="27">
        <v>0</v>
      </c>
      <c r="E491" s="14">
        <v>0</v>
      </c>
      <c r="F491" s="14">
        <v>1</v>
      </c>
      <c r="G491" s="14">
        <v>1</v>
      </c>
      <c r="H491" s="28">
        <v>0</v>
      </c>
      <c r="I491" s="14">
        <v>1</v>
      </c>
      <c r="J491" s="24">
        <v>4</v>
      </c>
    </row>
    <row r="492" spans="1:10" x14ac:dyDescent="0.35">
      <c r="A492" s="12">
        <v>11</v>
      </c>
      <c r="B492" s="14">
        <v>41</v>
      </c>
      <c r="C492" s="14">
        <v>11</v>
      </c>
      <c r="D492" s="27">
        <v>0</v>
      </c>
      <c r="E492" s="14">
        <v>1</v>
      </c>
      <c r="F492" s="14">
        <v>0</v>
      </c>
      <c r="G492" s="14">
        <v>0</v>
      </c>
      <c r="H492" s="28">
        <v>0</v>
      </c>
      <c r="I492" s="14">
        <v>1</v>
      </c>
      <c r="J492" s="24">
        <v>3</v>
      </c>
    </row>
    <row r="493" spans="1:10" x14ac:dyDescent="0.35">
      <c r="A493" s="12">
        <v>12</v>
      </c>
      <c r="B493" s="14">
        <v>41</v>
      </c>
      <c r="C493" s="14">
        <v>12</v>
      </c>
      <c r="D493" s="27">
        <v>0</v>
      </c>
      <c r="E493" s="14">
        <v>1</v>
      </c>
      <c r="F493" s="14">
        <v>0</v>
      </c>
      <c r="G493" s="14">
        <v>1</v>
      </c>
      <c r="H493" s="28">
        <v>0</v>
      </c>
      <c r="I493" s="14">
        <v>0</v>
      </c>
      <c r="J493" s="24">
        <v>7</v>
      </c>
    </row>
    <row r="494" spans="1:10" x14ac:dyDescent="0.35">
      <c r="A494" s="12">
        <v>1</v>
      </c>
      <c r="B494" s="14">
        <v>42</v>
      </c>
      <c r="C494" s="14">
        <v>1</v>
      </c>
      <c r="D494" s="27">
        <v>1</v>
      </c>
      <c r="E494" s="14">
        <v>1</v>
      </c>
      <c r="F494" s="14">
        <v>0</v>
      </c>
      <c r="G494" s="14">
        <v>1</v>
      </c>
      <c r="H494" s="28">
        <v>1</v>
      </c>
      <c r="I494" s="14">
        <v>0</v>
      </c>
      <c r="J494" s="24">
        <v>5</v>
      </c>
    </row>
    <row r="495" spans="1:10" x14ac:dyDescent="0.35">
      <c r="A495" s="12">
        <v>2</v>
      </c>
      <c r="B495" s="14">
        <v>42</v>
      </c>
      <c r="C495" s="14">
        <v>2</v>
      </c>
      <c r="D495" s="27">
        <v>1</v>
      </c>
      <c r="E495" s="14">
        <v>1</v>
      </c>
      <c r="F495" s="14">
        <v>1</v>
      </c>
      <c r="G495" s="14">
        <v>0</v>
      </c>
      <c r="H495" s="28">
        <v>0</v>
      </c>
      <c r="I495" s="14">
        <v>1</v>
      </c>
      <c r="J495" s="24">
        <v>4</v>
      </c>
    </row>
    <row r="496" spans="1:10" x14ac:dyDescent="0.35">
      <c r="A496" s="12">
        <v>3</v>
      </c>
      <c r="B496" s="14">
        <v>42</v>
      </c>
      <c r="C496" s="14">
        <v>3</v>
      </c>
      <c r="D496" s="27">
        <v>0</v>
      </c>
      <c r="E496" s="14">
        <v>0</v>
      </c>
      <c r="F496" s="14">
        <v>1</v>
      </c>
      <c r="G496" s="14">
        <v>1</v>
      </c>
      <c r="H496" s="28">
        <v>1</v>
      </c>
      <c r="I496" s="14">
        <v>0</v>
      </c>
      <c r="J496" s="24">
        <v>4</v>
      </c>
    </row>
    <row r="497" spans="1:10" x14ac:dyDescent="0.35">
      <c r="A497" s="12">
        <v>4</v>
      </c>
      <c r="B497" s="14">
        <v>42</v>
      </c>
      <c r="C497" s="14">
        <v>4</v>
      </c>
      <c r="D497" s="27">
        <v>1</v>
      </c>
      <c r="E497" s="14">
        <v>1</v>
      </c>
      <c r="F497" s="14">
        <v>1</v>
      </c>
      <c r="G497" s="14">
        <v>1</v>
      </c>
      <c r="H497" s="28">
        <v>0</v>
      </c>
      <c r="I497" s="14">
        <v>0</v>
      </c>
      <c r="J497" s="24">
        <v>6</v>
      </c>
    </row>
    <row r="498" spans="1:10" x14ac:dyDescent="0.35">
      <c r="A498" s="12">
        <v>5</v>
      </c>
      <c r="B498" s="14">
        <v>42</v>
      </c>
      <c r="C498" s="14">
        <v>5</v>
      </c>
      <c r="D498" s="27">
        <v>1</v>
      </c>
      <c r="E498" s="14">
        <v>0</v>
      </c>
      <c r="F498" s="14">
        <v>1</v>
      </c>
      <c r="G498" s="14">
        <v>0</v>
      </c>
      <c r="H498" s="28">
        <v>0</v>
      </c>
      <c r="I498" s="14">
        <v>0</v>
      </c>
      <c r="J498" s="24">
        <v>5</v>
      </c>
    </row>
    <row r="499" spans="1:10" x14ac:dyDescent="0.35">
      <c r="A499" s="12">
        <v>6</v>
      </c>
      <c r="B499" s="14">
        <v>42</v>
      </c>
      <c r="C499" s="14">
        <v>6</v>
      </c>
      <c r="D499" s="27">
        <v>1</v>
      </c>
      <c r="E499" s="14">
        <v>0</v>
      </c>
      <c r="F499" s="14">
        <v>0</v>
      </c>
      <c r="G499" s="14">
        <v>0</v>
      </c>
      <c r="H499" s="28">
        <v>1</v>
      </c>
      <c r="I499" s="14">
        <v>0</v>
      </c>
      <c r="J499" s="24">
        <v>3</v>
      </c>
    </row>
    <row r="500" spans="1:10" x14ac:dyDescent="0.35">
      <c r="A500" s="12">
        <v>7</v>
      </c>
      <c r="B500" s="14">
        <v>42</v>
      </c>
      <c r="C500" s="14">
        <v>7</v>
      </c>
      <c r="D500" s="27">
        <v>0</v>
      </c>
      <c r="E500" s="14">
        <v>1</v>
      </c>
      <c r="F500" s="14">
        <v>1</v>
      </c>
      <c r="G500" s="14">
        <v>0</v>
      </c>
      <c r="H500" s="28">
        <v>1</v>
      </c>
      <c r="I500" s="14">
        <v>0</v>
      </c>
      <c r="J500" s="24">
        <v>5</v>
      </c>
    </row>
    <row r="501" spans="1:10" x14ac:dyDescent="0.35">
      <c r="A501" s="12">
        <v>8</v>
      </c>
      <c r="B501" s="14">
        <v>42</v>
      </c>
      <c r="C501" s="14">
        <v>8</v>
      </c>
      <c r="D501" s="27">
        <v>0</v>
      </c>
      <c r="E501" s="14">
        <v>0</v>
      </c>
      <c r="F501" s="14">
        <v>0</v>
      </c>
      <c r="G501" s="14">
        <v>0</v>
      </c>
      <c r="H501" s="28">
        <v>0</v>
      </c>
      <c r="I501" s="14">
        <v>0</v>
      </c>
      <c r="J501" s="24">
        <v>5</v>
      </c>
    </row>
    <row r="502" spans="1:10" x14ac:dyDescent="0.35">
      <c r="A502" s="12">
        <v>9</v>
      </c>
      <c r="B502" s="14">
        <v>42</v>
      </c>
      <c r="C502" s="14">
        <v>9</v>
      </c>
      <c r="D502" s="27">
        <v>1</v>
      </c>
      <c r="E502" s="14">
        <v>0</v>
      </c>
      <c r="F502" s="14">
        <v>0</v>
      </c>
      <c r="G502" s="14">
        <v>1</v>
      </c>
      <c r="H502" s="28">
        <v>0</v>
      </c>
      <c r="I502" s="14">
        <v>1</v>
      </c>
      <c r="J502" s="24">
        <v>3</v>
      </c>
    </row>
    <row r="503" spans="1:10" x14ac:dyDescent="0.35">
      <c r="A503" s="12">
        <v>10</v>
      </c>
      <c r="B503" s="14">
        <v>42</v>
      </c>
      <c r="C503" s="14">
        <v>10</v>
      </c>
      <c r="D503" s="27">
        <v>0</v>
      </c>
      <c r="E503" s="14">
        <v>0</v>
      </c>
      <c r="F503" s="14">
        <v>1</v>
      </c>
      <c r="G503" s="14">
        <v>1</v>
      </c>
      <c r="H503" s="28">
        <v>0</v>
      </c>
      <c r="I503" s="14">
        <v>1</v>
      </c>
      <c r="J503" s="24">
        <v>4</v>
      </c>
    </row>
    <row r="504" spans="1:10" x14ac:dyDescent="0.35">
      <c r="A504" s="12">
        <v>11</v>
      </c>
      <c r="B504" s="14">
        <v>42</v>
      </c>
      <c r="C504" s="14">
        <v>11</v>
      </c>
      <c r="D504" s="27">
        <v>0</v>
      </c>
      <c r="E504" s="14">
        <v>1</v>
      </c>
      <c r="F504" s="14">
        <v>0</v>
      </c>
      <c r="G504" s="14">
        <v>0</v>
      </c>
      <c r="H504" s="28">
        <v>0</v>
      </c>
      <c r="I504" s="14">
        <v>1</v>
      </c>
      <c r="J504" s="24">
        <v>3</v>
      </c>
    </row>
    <row r="505" spans="1:10" x14ac:dyDescent="0.35">
      <c r="A505" s="12">
        <v>12</v>
      </c>
      <c r="B505" s="14">
        <v>42</v>
      </c>
      <c r="C505" s="14">
        <v>12</v>
      </c>
      <c r="D505" s="27">
        <v>0</v>
      </c>
      <c r="E505" s="14">
        <v>1</v>
      </c>
      <c r="F505" s="14">
        <v>0</v>
      </c>
      <c r="G505" s="14">
        <v>1</v>
      </c>
      <c r="H505" s="28">
        <v>0</v>
      </c>
      <c r="I505" s="14">
        <v>0</v>
      </c>
      <c r="J505" s="24">
        <v>6</v>
      </c>
    </row>
    <row r="506" spans="1:10" x14ac:dyDescent="0.35">
      <c r="A506" s="12">
        <v>1</v>
      </c>
      <c r="B506" s="14">
        <v>43</v>
      </c>
      <c r="C506" s="14">
        <v>1</v>
      </c>
      <c r="D506" s="27">
        <v>1</v>
      </c>
      <c r="E506" s="14">
        <v>1</v>
      </c>
      <c r="F506" s="14">
        <v>0</v>
      </c>
      <c r="G506" s="14">
        <v>1</v>
      </c>
      <c r="H506" s="28">
        <v>1</v>
      </c>
      <c r="I506" s="14">
        <v>0</v>
      </c>
      <c r="J506" s="24">
        <v>6</v>
      </c>
    </row>
    <row r="507" spans="1:10" x14ac:dyDescent="0.35">
      <c r="A507" s="12">
        <v>2</v>
      </c>
      <c r="B507" s="14">
        <v>43</v>
      </c>
      <c r="C507" s="14">
        <v>2</v>
      </c>
      <c r="D507" s="27">
        <v>1</v>
      </c>
      <c r="E507" s="14">
        <v>1</v>
      </c>
      <c r="F507" s="14">
        <v>1</v>
      </c>
      <c r="G507" s="14">
        <v>0</v>
      </c>
      <c r="H507" s="28">
        <v>0</v>
      </c>
      <c r="I507" s="14">
        <v>1</v>
      </c>
      <c r="J507" s="24">
        <v>3</v>
      </c>
    </row>
    <row r="508" spans="1:10" x14ac:dyDescent="0.35">
      <c r="A508" s="12">
        <v>3</v>
      </c>
      <c r="B508" s="14">
        <v>43</v>
      </c>
      <c r="C508" s="14">
        <v>3</v>
      </c>
      <c r="D508" s="27">
        <v>0</v>
      </c>
      <c r="E508" s="14">
        <v>0</v>
      </c>
      <c r="F508" s="14">
        <v>1</v>
      </c>
      <c r="G508" s="14">
        <v>1</v>
      </c>
      <c r="H508" s="28">
        <v>1</v>
      </c>
      <c r="I508" s="14">
        <v>0</v>
      </c>
      <c r="J508" s="24">
        <v>4</v>
      </c>
    </row>
    <row r="509" spans="1:10" x14ac:dyDescent="0.35">
      <c r="A509" s="12">
        <v>4</v>
      </c>
      <c r="B509" s="14">
        <v>43</v>
      </c>
      <c r="C509" s="14">
        <v>4</v>
      </c>
      <c r="D509" s="27">
        <v>1</v>
      </c>
      <c r="E509" s="14">
        <v>1</v>
      </c>
      <c r="F509" s="14">
        <v>1</v>
      </c>
      <c r="G509" s="14">
        <v>1</v>
      </c>
      <c r="H509" s="28">
        <v>0</v>
      </c>
      <c r="I509" s="14">
        <v>0</v>
      </c>
      <c r="J509" s="24">
        <v>7</v>
      </c>
    </row>
    <row r="510" spans="1:10" x14ac:dyDescent="0.35">
      <c r="A510" s="12">
        <v>5</v>
      </c>
      <c r="B510" s="14">
        <v>43</v>
      </c>
      <c r="C510" s="14">
        <v>5</v>
      </c>
      <c r="D510" s="27">
        <v>1</v>
      </c>
      <c r="E510" s="14">
        <v>0</v>
      </c>
      <c r="F510" s="14">
        <v>1</v>
      </c>
      <c r="G510" s="14">
        <v>0</v>
      </c>
      <c r="H510" s="28">
        <v>0</v>
      </c>
      <c r="I510" s="14">
        <v>0</v>
      </c>
      <c r="J510" s="24">
        <v>5</v>
      </c>
    </row>
    <row r="511" spans="1:10" x14ac:dyDescent="0.35">
      <c r="A511" s="12">
        <v>6</v>
      </c>
      <c r="B511" s="14">
        <v>43</v>
      </c>
      <c r="C511" s="14">
        <v>6</v>
      </c>
      <c r="D511" s="27">
        <v>1</v>
      </c>
      <c r="E511" s="14">
        <v>0</v>
      </c>
      <c r="F511" s="14">
        <v>0</v>
      </c>
      <c r="G511" s="14">
        <v>0</v>
      </c>
      <c r="H511" s="28">
        <v>1</v>
      </c>
      <c r="I511" s="14">
        <v>0</v>
      </c>
      <c r="J511" s="24">
        <v>3</v>
      </c>
    </row>
    <row r="512" spans="1:10" x14ac:dyDescent="0.35">
      <c r="A512" s="12">
        <v>7</v>
      </c>
      <c r="B512" s="14">
        <v>43</v>
      </c>
      <c r="C512" s="14">
        <v>7</v>
      </c>
      <c r="D512" s="27">
        <v>0</v>
      </c>
      <c r="E512" s="14">
        <v>1</v>
      </c>
      <c r="F512" s="14">
        <v>1</v>
      </c>
      <c r="G512" s="14">
        <v>0</v>
      </c>
      <c r="H512" s="28">
        <v>1</v>
      </c>
      <c r="I512" s="14">
        <v>0</v>
      </c>
      <c r="J512" s="24">
        <v>5</v>
      </c>
    </row>
    <row r="513" spans="1:10" x14ac:dyDescent="0.35">
      <c r="A513" s="12">
        <v>8</v>
      </c>
      <c r="B513" s="14">
        <v>43</v>
      </c>
      <c r="C513" s="14">
        <v>8</v>
      </c>
      <c r="D513" s="27">
        <v>0</v>
      </c>
      <c r="E513" s="14">
        <v>0</v>
      </c>
      <c r="F513" s="14">
        <v>0</v>
      </c>
      <c r="G513" s="14">
        <v>0</v>
      </c>
      <c r="H513" s="28">
        <v>0</v>
      </c>
      <c r="I513" s="14">
        <v>0</v>
      </c>
      <c r="J513" s="24">
        <v>5</v>
      </c>
    </row>
    <row r="514" spans="1:10" x14ac:dyDescent="0.35">
      <c r="A514" s="12">
        <v>9</v>
      </c>
      <c r="B514" s="14">
        <v>43</v>
      </c>
      <c r="C514" s="14">
        <v>9</v>
      </c>
      <c r="D514" s="27">
        <v>1</v>
      </c>
      <c r="E514" s="14">
        <v>0</v>
      </c>
      <c r="F514" s="14">
        <v>0</v>
      </c>
      <c r="G514" s="14">
        <v>1</v>
      </c>
      <c r="H514" s="28">
        <v>0</v>
      </c>
      <c r="I514" s="14">
        <v>1</v>
      </c>
      <c r="J514" s="24">
        <v>2</v>
      </c>
    </row>
    <row r="515" spans="1:10" x14ac:dyDescent="0.35">
      <c r="A515" s="12">
        <v>10</v>
      </c>
      <c r="B515" s="14">
        <v>43</v>
      </c>
      <c r="C515" s="14">
        <v>10</v>
      </c>
      <c r="D515" s="27">
        <v>0</v>
      </c>
      <c r="E515" s="14">
        <v>0</v>
      </c>
      <c r="F515" s="14">
        <v>1</v>
      </c>
      <c r="G515" s="14">
        <v>1</v>
      </c>
      <c r="H515" s="28">
        <v>0</v>
      </c>
      <c r="I515" s="14">
        <v>1</v>
      </c>
      <c r="J515" s="24">
        <v>4</v>
      </c>
    </row>
    <row r="516" spans="1:10" x14ac:dyDescent="0.35">
      <c r="A516" s="12">
        <v>11</v>
      </c>
      <c r="B516" s="14">
        <v>43</v>
      </c>
      <c r="C516" s="14">
        <v>11</v>
      </c>
      <c r="D516" s="27">
        <v>0</v>
      </c>
      <c r="E516" s="14">
        <v>1</v>
      </c>
      <c r="F516" s="14">
        <v>0</v>
      </c>
      <c r="G516" s="14">
        <v>0</v>
      </c>
      <c r="H516" s="28">
        <v>0</v>
      </c>
      <c r="I516" s="14">
        <v>1</v>
      </c>
      <c r="J516" s="24">
        <v>2</v>
      </c>
    </row>
    <row r="517" spans="1:10" x14ac:dyDescent="0.35">
      <c r="A517" s="12">
        <v>12</v>
      </c>
      <c r="B517" s="14">
        <v>43</v>
      </c>
      <c r="C517" s="14">
        <v>12</v>
      </c>
      <c r="D517" s="27">
        <v>0</v>
      </c>
      <c r="E517" s="14">
        <v>1</v>
      </c>
      <c r="F517" s="14">
        <v>0</v>
      </c>
      <c r="G517" s="14">
        <v>1</v>
      </c>
      <c r="H517" s="28">
        <v>0</v>
      </c>
      <c r="I517" s="14">
        <v>0</v>
      </c>
      <c r="J517" s="24">
        <v>7</v>
      </c>
    </row>
    <row r="518" spans="1:10" x14ac:dyDescent="0.35">
      <c r="A518" s="12">
        <v>1</v>
      </c>
      <c r="B518" s="14">
        <v>44</v>
      </c>
      <c r="C518" s="14">
        <v>1</v>
      </c>
      <c r="D518" s="27">
        <v>1</v>
      </c>
      <c r="E518" s="14">
        <v>1</v>
      </c>
      <c r="F518" s="14">
        <v>0</v>
      </c>
      <c r="G518" s="14">
        <v>1</v>
      </c>
      <c r="H518" s="28">
        <v>1</v>
      </c>
      <c r="I518" s="14">
        <v>0</v>
      </c>
      <c r="J518" s="24">
        <v>5</v>
      </c>
    </row>
    <row r="519" spans="1:10" x14ac:dyDescent="0.35">
      <c r="A519" s="12">
        <v>2</v>
      </c>
      <c r="B519" s="14">
        <v>44</v>
      </c>
      <c r="C519" s="14">
        <v>2</v>
      </c>
      <c r="D519" s="27">
        <v>1</v>
      </c>
      <c r="E519" s="14">
        <v>1</v>
      </c>
      <c r="F519" s="14">
        <v>1</v>
      </c>
      <c r="G519" s="14">
        <v>0</v>
      </c>
      <c r="H519" s="28">
        <v>0</v>
      </c>
      <c r="I519" s="14">
        <v>1</v>
      </c>
      <c r="J519" s="24">
        <v>3</v>
      </c>
    </row>
    <row r="520" spans="1:10" x14ac:dyDescent="0.35">
      <c r="A520" s="12">
        <v>3</v>
      </c>
      <c r="B520" s="14">
        <v>44</v>
      </c>
      <c r="C520" s="14">
        <v>3</v>
      </c>
      <c r="D520" s="27">
        <v>0</v>
      </c>
      <c r="E520" s="14">
        <v>0</v>
      </c>
      <c r="F520" s="14">
        <v>1</v>
      </c>
      <c r="G520" s="14">
        <v>1</v>
      </c>
      <c r="H520" s="28">
        <v>1</v>
      </c>
      <c r="I520" s="14">
        <v>0</v>
      </c>
      <c r="J520" s="24">
        <v>3</v>
      </c>
    </row>
    <row r="521" spans="1:10" x14ac:dyDescent="0.35">
      <c r="A521" s="12">
        <v>4</v>
      </c>
      <c r="B521" s="14">
        <v>44</v>
      </c>
      <c r="C521" s="14">
        <v>4</v>
      </c>
      <c r="D521" s="27">
        <v>1</v>
      </c>
      <c r="E521" s="14">
        <v>1</v>
      </c>
      <c r="F521" s="14">
        <v>1</v>
      </c>
      <c r="G521" s="14">
        <v>1</v>
      </c>
      <c r="H521" s="28">
        <v>0</v>
      </c>
      <c r="I521" s="14">
        <v>0</v>
      </c>
      <c r="J521" s="24">
        <v>6</v>
      </c>
    </row>
    <row r="522" spans="1:10" x14ac:dyDescent="0.35">
      <c r="A522" s="12">
        <v>5</v>
      </c>
      <c r="B522" s="14">
        <v>44</v>
      </c>
      <c r="C522" s="14">
        <v>5</v>
      </c>
      <c r="D522" s="27">
        <v>1</v>
      </c>
      <c r="E522" s="14">
        <v>0</v>
      </c>
      <c r="F522" s="14">
        <v>1</v>
      </c>
      <c r="G522" s="14">
        <v>0</v>
      </c>
      <c r="H522" s="28">
        <v>0</v>
      </c>
      <c r="I522" s="14">
        <v>0</v>
      </c>
      <c r="J522" s="24">
        <v>4</v>
      </c>
    </row>
    <row r="523" spans="1:10" x14ac:dyDescent="0.35">
      <c r="A523" s="12">
        <v>6</v>
      </c>
      <c r="B523" s="14">
        <v>44</v>
      </c>
      <c r="C523" s="14">
        <v>6</v>
      </c>
      <c r="D523" s="27">
        <v>1</v>
      </c>
      <c r="E523" s="14">
        <v>0</v>
      </c>
      <c r="F523" s="14">
        <v>0</v>
      </c>
      <c r="G523" s="14">
        <v>0</v>
      </c>
      <c r="H523" s="28">
        <v>1</v>
      </c>
      <c r="I523" s="14">
        <v>0</v>
      </c>
      <c r="J523" s="24">
        <v>3</v>
      </c>
    </row>
    <row r="524" spans="1:10" x14ac:dyDescent="0.35">
      <c r="A524" s="12">
        <v>7</v>
      </c>
      <c r="B524" s="14">
        <v>44</v>
      </c>
      <c r="C524" s="14">
        <v>7</v>
      </c>
      <c r="D524" s="27">
        <v>0</v>
      </c>
      <c r="E524" s="14">
        <v>1</v>
      </c>
      <c r="F524" s="14">
        <v>1</v>
      </c>
      <c r="G524" s="14">
        <v>0</v>
      </c>
      <c r="H524" s="28">
        <v>1</v>
      </c>
      <c r="I524" s="14">
        <v>0</v>
      </c>
      <c r="J524" s="24">
        <v>4</v>
      </c>
    </row>
    <row r="525" spans="1:10" x14ac:dyDescent="0.35">
      <c r="A525" s="12">
        <v>8</v>
      </c>
      <c r="B525" s="14">
        <v>44</v>
      </c>
      <c r="C525" s="14">
        <v>8</v>
      </c>
      <c r="D525" s="27">
        <v>0</v>
      </c>
      <c r="E525" s="14">
        <v>0</v>
      </c>
      <c r="F525" s="14">
        <v>0</v>
      </c>
      <c r="G525" s="14">
        <v>0</v>
      </c>
      <c r="H525" s="28">
        <v>0</v>
      </c>
      <c r="I525" s="14">
        <v>0</v>
      </c>
      <c r="J525" s="24">
        <v>5</v>
      </c>
    </row>
    <row r="526" spans="1:10" x14ac:dyDescent="0.35">
      <c r="A526" s="12">
        <v>9</v>
      </c>
      <c r="B526" s="14">
        <v>44</v>
      </c>
      <c r="C526" s="14">
        <v>9</v>
      </c>
      <c r="D526" s="27">
        <v>1</v>
      </c>
      <c r="E526" s="14">
        <v>0</v>
      </c>
      <c r="F526" s="14">
        <v>0</v>
      </c>
      <c r="G526" s="14">
        <v>1</v>
      </c>
      <c r="H526" s="28">
        <v>0</v>
      </c>
      <c r="I526" s="14">
        <v>1</v>
      </c>
      <c r="J526" s="24">
        <v>2</v>
      </c>
    </row>
    <row r="527" spans="1:10" x14ac:dyDescent="0.35">
      <c r="A527" s="12">
        <v>10</v>
      </c>
      <c r="B527" s="14">
        <v>44</v>
      </c>
      <c r="C527" s="14">
        <v>10</v>
      </c>
      <c r="D527" s="27">
        <v>0</v>
      </c>
      <c r="E527" s="14">
        <v>0</v>
      </c>
      <c r="F527" s="14">
        <v>1</v>
      </c>
      <c r="G527" s="14">
        <v>1</v>
      </c>
      <c r="H527" s="28">
        <v>0</v>
      </c>
      <c r="I527" s="14">
        <v>1</v>
      </c>
      <c r="J527" s="24">
        <v>3</v>
      </c>
    </row>
    <row r="528" spans="1:10" x14ac:dyDescent="0.35">
      <c r="A528" s="12">
        <v>11</v>
      </c>
      <c r="B528" s="14">
        <v>44</v>
      </c>
      <c r="C528" s="14">
        <v>11</v>
      </c>
      <c r="D528" s="27">
        <v>0</v>
      </c>
      <c r="E528" s="14">
        <v>1</v>
      </c>
      <c r="F528" s="14">
        <v>0</v>
      </c>
      <c r="G528" s="14">
        <v>0</v>
      </c>
      <c r="H528" s="28">
        <v>0</v>
      </c>
      <c r="I528" s="14">
        <v>1</v>
      </c>
      <c r="J528" s="24">
        <v>2</v>
      </c>
    </row>
    <row r="529" spans="1:10" x14ac:dyDescent="0.35">
      <c r="A529" s="12">
        <v>12</v>
      </c>
      <c r="B529" s="14">
        <v>44</v>
      </c>
      <c r="C529" s="14">
        <v>12</v>
      </c>
      <c r="D529" s="27">
        <v>0</v>
      </c>
      <c r="E529" s="14">
        <v>1</v>
      </c>
      <c r="F529" s="14">
        <v>0</v>
      </c>
      <c r="G529" s="14">
        <v>1</v>
      </c>
      <c r="H529" s="28">
        <v>0</v>
      </c>
      <c r="I529" s="14">
        <v>0</v>
      </c>
      <c r="J529" s="24">
        <v>7</v>
      </c>
    </row>
    <row r="530" spans="1:10" x14ac:dyDescent="0.35">
      <c r="A530" s="12">
        <v>1</v>
      </c>
      <c r="B530" s="14">
        <v>45</v>
      </c>
      <c r="C530" s="14">
        <v>1</v>
      </c>
      <c r="D530" s="27">
        <v>1</v>
      </c>
      <c r="E530" s="14">
        <v>1</v>
      </c>
      <c r="F530" s="14">
        <v>0</v>
      </c>
      <c r="G530" s="14">
        <v>1</v>
      </c>
      <c r="H530" s="28">
        <v>1</v>
      </c>
      <c r="I530" s="14">
        <v>0</v>
      </c>
      <c r="J530" s="24">
        <v>6</v>
      </c>
    </row>
    <row r="531" spans="1:10" x14ac:dyDescent="0.35">
      <c r="A531" s="12">
        <v>2</v>
      </c>
      <c r="B531" s="14">
        <v>45</v>
      </c>
      <c r="C531" s="14">
        <v>2</v>
      </c>
      <c r="D531" s="27">
        <v>1</v>
      </c>
      <c r="E531" s="14">
        <v>1</v>
      </c>
      <c r="F531" s="14">
        <v>1</v>
      </c>
      <c r="G531" s="14">
        <v>0</v>
      </c>
      <c r="H531" s="28">
        <v>0</v>
      </c>
      <c r="I531" s="14">
        <v>1</v>
      </c>
      <c r="J531" s="24">
        <v>4</v>
      </c>
    </row>
    <row r="532" spans="1:10" x14ac:dyDescent="0.35">
      <c r="A532" s="12">
        <v>3</v>
      </c>
      <c r="B532" s="14">
        <v>45</v>
      </c>
      <c r="C532" s="14">
        <v>3</v>
      </c>
      <c r="D532" s="27">
        <v>0</v>
      </c>
      <c r="E532" s="14">
        <v>0</v>
      </c>
      <c r="F532" s="14">
        <v>1</v>
      </c>
      <c r="G532" s="14">
        <v>1</v>
      </c>
      <c r="H532" s="28">
        <v>1</v>
      </c>
      <c r="I532" s="14">
        <v>0</v>
      </c>
      <c r="J532" s="24">
        <v>4</v>
      </c>
    </row>
    <row r="533" spans="1:10" x14ac:dyDescent="0.35">
      <c r="A533" s="12">
        <v>4</v>
      </c>
      <c r="B533" s="14">
        <v>45</v>
      </c>
      <c r="C533" s="14">
        <v>4</v>
      </c>
      <c r="D533" s="27">
        <v>1</v>
      </c>
      <c r="E533" s="14">
        <v>1</v>
      </c>
      <c r="F533" s="14">
        <v>1</v>
      </c>
      <c r="G533" s="14">
        <v>1</v>
      </c>
      <c r="H533" s="28">
        <v>0</v>
      </c>
      <c r="I533" s="14">
        <v>0</v>
      </c>
      <c r="J533" s="24">
        <v>7</v>
      </c>
    </row>
    <row r="534" spans="1:10" x14ac:dyDescent="0.35">
      <c r="A534" s="12">
        <v>5</v>
      </c>
      <c r="B534" s="14">
        <v>45</v>
      </c>
      <c r="C534" s="14">
        <v>5</v>
      </c>
      <c r="D534" s="27">
        <v>1</v>
      </c>
      <c r="E534" s="14">
        <v>0</v>
      </c>
      <c r="F534" s="14">
        <v>1</v>
      </c>
      <c r="G534" s="14">
        <v>0</v>
      </c>
      <c r="H534" s="28">
        <v>0</v>
      </c>
      <c r="I534" s="14">
        <v>0</v>
      </c>
      <c r="J534" s="24">
        <v>5</v>
      </c>
    </row>
    <row r="535" spans="1:10" x14ac:dyDescent="0.35">
      <c r="A535" s="12">
        <v>6</v>
      </c>
      <c r="B535" s="14">
        <v>45</v>
      </c>
      <c r="C535" s="14">
        <v>6</v>
      </c>
      <c r="D535" s="27">
        <v>1</v>
      </c>
      <c r="E535" s="14">
        <v>0</v>
      </c>
      <c r="F535" s="14">
        <v>0</v>
      </c>
      <c r="G535" s="14">
        <v>0</v>
      </c>
      <c r="H535" s="28">
        <v>1</v>
      </c>
      <c r="I535" s="14">
        <v>0</v>
      </c>
      <c r="J535" s="24">
        <v>3</v>
      </c>
    </row>
    <row r="536" spans="1:10" x14ac:dyDescent="0.35">
      <c r="A536" s="12">
        <v>7</v>
      </c>
      <c r="B536" s="14">
        <v>45</v>
      </c>
      <c r="C536" s="14">
        <v>7</v>
      </c>
      <c r="D536" s="27">
        <v>0</v>
      </c>
      <c r="E536" s="14">
        <v>1</v>
      </c>
      <c r="F536" s="14">
        <v>1</v>
      </c>
      <c r="G536" s="14">
        <v>0</v>
      </c>
      <c r="H536" s="28">
        <v>1</v>
      </c>
      <c r="I536" s="14">
        <v>0</v>
      </c>
      <c r="J536" s="24">
        <v>5</v>
      </c>
    </row>
    <row r="537" spans="1:10" x14ac:dyDescent="0.35">
      <c r="A537" s="12">
        <v>8</v>
      </c>
      <c r="B537" s="14">
        <v>45</v>
      </c>
      <c r="C537" s="14">
        <v>8</v>
      </c>
      <c r="D537" s="27">
        <v>0</v>
      </c>
      <c r="E537" s="14">
        <v>0</v>
      </c>
      <c r="F537" s="14">
        <v>0</v>
      </c>
      <c r="G537" s="14">
        <v>0</v>
      </c>
      <c r="H537" s="28">
        <v>0</v>
      </c>
      <c r="I537" s="14">
        <v>0</v>
      </c>
      <c r="J537" s="24">
        <v>6</v>
      </c>
    </row>
    <row r="538" spans="1:10" x14ac:dyDescent="0.35">
      <c r="A538" s="12">
        <v>9</v>
      </c>
      <c r="B538" s="14">
        <v>45</v>
      </c>
      <c r="C538" s="14">
        <v>9</v>
      </c>
      <c r="D538" s="27">
        <v>1</v>
      </c>
      <c r="E538" s="14">
        <v>0</v>
      </c>
      <c r="F538" s="14">
        <v>0</v>
      </c>
      <c r="G538" s="14">
        <v>1</v>
      </c>
      <c r="H538" s="28">
        <v>0</v>
      </c>
      <c r="I538" s="14">
        <v>1</v>
      </c>
      <c r="J538" s="24">
        <v>3</v>
      </c>
    </row>
    <row r="539" spans="1:10" x14ac:dyDescent="0.35">
      <c r="A539" s="12">
        <v>10</v>
      </c>
      <c r="B539" s="14">
        <v>45</v>
      </c>
      <c r="C539" s="14">
        <v>10</v>
      </c>
      <c r="D539" s="27">
        <v>0</v>
      </c>
      <c r="E539" s="14">
        <v>0</v>
      </c>
      <c r="F539" s="14">
        <v>1</v>
      </c>
      <c r="G539" s="14">
        <v>1</v>
      </c>
      <c r="H539" s="28">
        <v>0</v>
      </c>
      <c r="I539" s="14">
        <v>1</v>
      </c>
      <c r="J539" s="24">
        <v>4</v>
      </c>
    </row>
    <row r="540" spans="1:10" x14ac:dyDescent="0.35">
      <c r="A540" s="12">
        <v>11</v>
      </c>
      <c r="B540" s="14">
        <v>45</v>
      </c>
      <c r="C540" s="14">
        <v>11</v>
      </c>
      <c r="D540" s="27">
        <v>0</v>
      </c>
      <c r="E540" s="14">
        <v>1</v>
      </c>
      <c r="F540" s="14">
        <v>0</v>
      </c>
      <c r="G540" s="14">
        <v>0</v>
      </c>
      <c r="H540" s="28">
        <v>0</v>
      </c>
      <c r="I540" s="14">
        <v>1</v>
      </c>
      <c r="J540" s="24">
        <v>3</v>
      </c>
    </row>
    <row r="541" spans="1:10" x14ac:dyDescent="0.35">
      <c r="A541" s="12">
        <v>12</v>
      </c>
      <c r="B541" s="14">
        <v>45</v>
      </c>
      <c r="C541" s="14">
        <v>12</v>
      </c>
      <c r="D541" s="27">
        <v>0</v>
      </c>
      <c r="E541" s="14">
        <v>1</v>
      </c>
      <c r="F541" s="14">
        <v>0</v>
      </c>
      <c r="G541" s="14">
        <v>1</v>
      </c>
      <c r="H541" s="28">
        <v>0</v>
      </c>
      <c r="I541" s="14">
        <v>0</v>
      </c>
      <c r="J541" s="24">
        <v>6</v>
      </c>
    </row>
    <row r="542" spans="1:10" x14ac:dyDescent="0.35">
      <c r="A542" s="12">
        <v>1</v>
      </c>
      <c r="B542" s="14">
        <v>46</v>
      </c>
      <c r="C542" s="14">
        <v>1</v>
      </c>
      <c r="D542" s="27">
        <v>1</v>
      </c>
      <c r="E542" s="14">
        <v>1</v>
      </c>
      <c r="F542" s="14">
        <v>0</v>
      </c>
      <c r="G542" s="14">
        <v>1</v>
      </c>
      <c r="H542" s="28">
        <v>1</v>
      </c>
      <c r="I542" s="14">
        <v>0</v>
      </c>
      <c r="J542" s="24">
        <v>5</v>
      </c>
    </row>
    <row r="543" spans="1:10" x14ac:dyDescent="0.35">
      <c r="A543" s="12">
        <v>2</v>
      </c>
      <c r="B543" s="14">
        <v>46</v>
      </c>
      <c r="C543" s="14">
        <v>2</v>
      </c>
      <c r="D543" s="27">
        <v>1</v>
      </c>
      <c r="E543" s="14">
        <v>1</v>
      </c>
      <c r="F543" s="14">
        <v>1</v>
      </c>
      <c r="G543" s="14">
        <v>0</v>
      </c>
      <c r="H543" s="28">
        <v>0</v>
      </c>
      <c r="I543" s="14">
        <v>1</v>
      </c>
      <c r="J543" s="24">
        <v>3</v>
      </c>
    </row>
    <row r="544" spans="1:10" x14ac:dyDescent="0.35">
      <c r="A544" s="12">
        <v>3</v>
      </c>
      <c r="B544" s="14">
        <v>46</v>
      </c>
      <c r="C544" s="14">
        <v>3</v>
      </c>
      <c r="D544" s="27">
        <v>0</v>
      </c>
      <c r="E544" s="14">
        <v>0</v>
      </c>
      <c r="F544" s="14">
        <v>1</v>
      </c>
      <c r="G544" s="14">
        <v>1</v>
      </c>
      <c r="H544" s="28">
        <v>1</v>
      </c>
      <c r="I544" s="14">
        <v>0</v>
      </c>
      <c r="J544" s="24">
        <v>4</v>
      </c>
    </row>
    <row r="545" spans="1:10" x14ac:dyDescent="0.35">
      <c r="A545" s="12">
        <v>4</v>
      </c>
      <c r="B545" s="14">
        <v>46</v>
      </c>
      <c r="C545" s="14">
        <v>4</v>
      </c>
      <c r="D545" s="27">
        <v>1</v>
      </c>
      <c r="E545" s="14">
        <v>1</v>
      </c>
      <c r="F545" s="14">
        <v>1</v>
      </c>
      <c r="G545" s="14">
        <v>1</v>
      </c>
      <c r="H545" s="28">
        <v>0</v>
      </c>
      <c r="I545" s="14">
        <v>0</v>
      </c>
      <c r="J545" s="24">
        <v>6</v>
      </c>
    </row>
    <row r="546" spans="1:10" x14ac:dyDescent="0.35">
      <c r="A546" s="12">
        <v>5</v>
      </c>
      <c r="B546" s="14">
        <v>46</v>
      </c>
      <c r="C546" s="14">
        <v>5</v>
      </c>
      <c r="D546" s="27">
        <v>1</v>
      </c>
      <c r="E546" s="14">
        <v>0</v>
      </c>
      <c r="F546" s="14">
        <v>1</v>
      </c>
      <c r="G546" s="14">
        <v>0</v>
      </c>
      <c r="H546" s="28">
        <v>0</v>
      </c>
      <c r="I546" s="14">
        <v>0</v>
      </c>
      <c r="J546" s="24">
        <v>5</v>
      </c>
    </row>
    <row r="547" spans="1:10" x14ac:dyDescent="0.35">
      <c r="A547" s="12">
        <v>6</v>
      </c>
      <c r="B547" s="14">
        <v>46</v>
      </c>
      <c r="C547" s="14">
        <v>6</v>
      </c>
      <c r="D547" s="27">
        <v>1</v>
      </c>
      <c r="E547" s="14">
        <v>0</v>
      </c>
      <c r="F547" s="14">
        <v>0</v>
      </c>
      <c r="G547" s="14">
        <v>0</v>
      </c>
      <c r="H547" s="28">
        <v>1</v>
      </c>
      <c r="I547" s="14">
        <v>0</v>
      </c>
      <c r="J547" s="24">
        <v>3</v>
      </c>
    </row>
    <row r="548" spans="1:10" x14ac:dyDescent="0.35">
      <c r="A548" s="12">
        <v>7</v>
      </c>
      <c r="B548" s="14">
        <v>46</v>
      </c>
      <c r="C548" s="14">
        <v>7</v>
      </c>
      <c r="D548" s="27">
        <v>0</v>
      </c>
      <c r="E548" s="14">
        <v>1</v>
      </c>
      <c r="F548" s="14">
        <v>1</v>
      </c>
      <c r="G548" s="14">
        <v>0</v>
      </c>
      <c r="H548" s="28">
        <v>1</v>
      </c>
      <c r="I548" s="14">
        <v>0</v>
      </c>
      <c r="J548" s="24">
        <v>4</v>
      </c>
    </row>
    <row r="549" spans="1:10" x14ac:dyDescent="0.35">
      <c r="A549" s="12">
        <v>8</v>
      </c>
      <c r="B549" s="14">
        <v>46</v>
      </c>
      <c r="C549" s="14">
        <v>8</v>
      </c>
      <c r="D549" s="27">
        <v>0</v>
      </c>
      <c r="E549" s="14">
        <v>0</v>
      </c>
      <c r="F549" s="14">
        <v>0</v>
      </c>
      <c r="G549" s="14">
        <v>0</v>
      </c>
      <c r="H549" s="28">
        <v>0</v>
      </c>
      <c r="I549" s="14">
        <v>0</v>
      </c>
      <c r="J549" s="24">
        <v>5</v>
      </c>
    </row>
    <row r="550" spans="1:10" x14ac:dyDescent="0.35">
      <c r="A550" s="12">
        <v>9</v>
      </c>
      <c r="B550" s="14">
        <v>46</v>
      </c>
      <c r="C550" s="14">
        <v>9</v>
      </c>
      <c r="D550" s="27">
        <v>1</v>
      </c>
      <c r="E550" s="14">
        <v>0</v>
      </c>
      <c r="F550" s="14">
        <v>0</v>
      </c>
      <c r="G550" s="14">
        <v>1</v>
      </c>
      <c r="H550" s="28">
        <v>0</v>
      </c>
      <c r="I550" s="14">
        <v>1</v>
      </c>
      <c r="J550" s="24">
        <v>3</v>
      </c>
    </row>
    <row r="551" spans="1:10" x14ac:dyDescent="0.35">
      <c r="A551" s="12">
        <v>10</v>
      </c>
      <c r="B551" s="14">
        <v>46</v>
      </c>
      <c r="C551" s="14">
        <v>10</v>
      </c>
      <c r="D551" s="27">
        <v>0</v>
      </c>
      <c r="E551" s="14">
        <v>0</v>
      </c>
      <c r="F551" s="14">
        <v>1</v>
      </c>
      <c r="G551" s="14">
        <v>1</v>
      </c>
      <c r="H551" s="28">
        <v>0</v>
      </c>
      <c r="I551" s="14">
        <v>1</v>
      </c>
      <c r="J551" s="24">
        <v>4</v>
      </c>
    </row>
    <row r="552" spans="1:10" x14ac:dyDescent="0.35">
      <c r="A552" s="12">
        <v>11</v>
      </c>
      <c r="B552" s="14">
        <v>46</v>
      </c>
      <c r="C552" s="14">
        <v>11</v>
      </c>
      <c r="D552" s="27">
        <v>0</v>
      </c>
      <c r="E552" s="14">
        <v>1</v>
      </c>
      <c r="F552" s="14">
        <v>0</v>
      </c>
      <c r="G552" s="14">
        <v>0</v>
      </c>
      <c r="H552" s="28">
        <v>0</v>
      </c>
      <c r="I552" s="14">
        <v>1</v>
      </c>
      <c r="J552" s="24">
        <v>3</v>
      </c>
    </row>
    <row r="553" spans="1:10" x14ac:dyDescent="0.35">
      <c r="A553" s="12">
        <v>12</v>
      </c>
      <c r="B553" s="14">
        <v>46</v>
      </c>
      <c r="C553" s="14">
        <v>12</v>
      </c>
      <c r="D553" s="27">
        <v>0</v>
      </c>
      <c r="E553" s="14">
        <v>1</v>
      </c>
      <c r="F553" s="14">
        <v>0</v>
      </c>
      <c r="G553" s="14">
        <v>1</v>
      </c>
      <c r="H553" s="28">
        <v>0</v>
      </c>
      <c r="I553" s="14">
        <v>0</v>
      </c>
      <c r="J553" s="24">
        <v>7</v>
      </c>
    </row>
    <row r="554" spans="1:10" x14ac:dyDescent="0.35">
      <c r="A554" s="12">
        <v>1</v>
      </c>
      <c r="B554" s="14">
        <v>47</v>
      </c>
      <c r="C554" s="14">
        <v>1</v>
      </c>
      <c r="D554" s="27">
        <v>1</v>
      </c>
      <c r="E554" s="14">
        <v>1</v>
      </c>
      <c r="F554" s="14">
        <v>0</v>
      </c>
      <c r="G554" s="14">
        <v>1</v>
      </c>
      <c r="H554" s="28">
        <v>1</v>
      </c>
      <c r="I554" s="14">
        <v>0</v>
      </c>
      <c r="J554" s="24">
        <v>6</v>
      </c>
    </row>
    <row r="555" spans="1:10" x14ac:dyDescent="0.35">
      <c r="A555" s="12">
        <v>2</v>
      </c>
      <c r="B555" s="14">
        <v>47</v>
      </c>
      <c r="C555" s="14">
        <v>2</v>
      </c>
      <c r="D555" s="27">
        <v>1</v>
      </c>
      <c r="E555" s="14">
        <v>1</v>
      </c>
      <c r="F555" s="14">
        <v>1</v>
      </c>
      <c r="G555" s="14">
        <v>0</v>
      </c>
      <c r="H555" s="28">
        <v>0</v>
      </c>
      <c r="I555" s="14">
        <v>1</v>
      </c>
      <c r="J555" s="24">
        <v>3</v>
      </c>
    </row>
    <row r="556" spans="1:10" x14ac:dyDescent="0.35">
      <c r="A556" s="12">
        <v>3</v>
      </c>
      <c r="B556" s="14">
        <v>47</v>
      </c>
      <c r="C556" s="14">
        <v>3</v>
      </c>
      <c r="D556" s="27">
        <v>0</v>
      </c>
      <c r="E556" s="14">
        <v>0</v>
      </c>
      <c r="F556" s="14">
        <v>1</v>
      </c>
      <c r="G556" s="14">
        <v>1</v>
      </c>
      <c r="H556" s="28">
        <v>1</v>
      </c>
      <c r="I556" s="14">
        <v>0</v>
      </c>
      <c r="J556" s="24">
        <v>3</v>
      </c>
    </row>
    <row r="557" spans="1:10" x14ac:dyDescent="0.35">
      <c r="A557" s="12">
        <v>4</v>
      </c>
      <c r="B557" s="14">
        <v>47</v>
      </c>
      <c r="C557" s="14">
        <v>4</v>
      </c>
      <c r="D557" s="27">
        <v>1</v>
      </c>
      <c r="E557" s="14">
        <v>1</v>
      </c>
      <c r="F557" s="14">
        <v>1</v>
      </c>
      <c r="G557" s="14">
        <v>1</v>
      </c>
      <c r="H557" s="28">
        <v>0</v>
      </c>
      <c r="I557" s="14">
        <v>0</v>
      </c>
      <c r="J557" s="24">
        <v>7</v>
      </c>
    </row>
    <row r="558" spans="1:10" x14ac:dyDescent="0.35">
      <c r="A558" s="12">
        <v>5</v>
      </c>
      <c r="B558" s="14">
        <v>47</v>
      </c>
      <c r="C558" s="14">
        <v>5</v>
      </c>
      <c r="D558" s="27">
        <v>1</v>
      </c>
      <c r="E558" s="14">
        <v>0</v>
      </c>
      <c r="F558" s="14">
        <v>1</v>
      </c>
      <c r="G558" s="14">
        <v>0</v>
      </c>
      <c r="H558" s="28">
        <v>0</v>
      </c>
      <c r="I558" s="14">
        <v>0</v>
      </c>
      <c r="J558" s="24">
        <v>5</v>
      </c>
    </row>
    <row r="559" spans="1:10" x14ac:dyDescent="0.35">
      <c r="A559" s="12">
        <v>6</v>
      </c>
      <c r="B559" s="14">
        <v>47</v>
      </c>
      <c r="C559" s="14">
        <v>6</v>
      </c>
      <c r="D559" s="27">
        <v>1</v>
      </c>
      <c r="E559" s="14">
        <v>0</v>
      </c>
      <c r="F559" s="14">
        <v>0</v>
      </c>
      <c r="G559" s="14">
        <v>0</v>
      </c>
      <c r="H559" s="28">
        <v>1</v>
      </c>
      <c r="I559" s="14">
        <v>0</v>
      </c>
      <c r="J559" s="24">
        <v>3</v>
      </c>
    </row>
    <row r="560" spans="1:10" x14ac:dyDescent="0.35">
      <c r="A560" s="12">
        <v>7</v>
      </c>
      <c r="B560" s="14">
        <v>47</v>
      </c>
      <c r="C560" s="14">
        <v>7</v>
      </c>
      <c r="D560" s="27">
        <v>0</v>
      </c>
      <c r="E560" s="14">
        <v>1</v>
      </c>
      <c r="F560" s="14">
        <v>1</v>
      </c>
      <c r="G560" s="14">
        <v>0</v>
      </c>
      <c r="H560" s="28">
        <v>1</v>
      </c>
      <c r="I560" s="14">
        <v>0</v>
      </c>
      <c r="J560" s="24">
        <v>4</v>
      </c>
    </row>
    <row r="561" spans="1:10" x14ac:dyDescent="0.35">
      <c r="A561" s="12">
        <v>8</v>
      </c>
      <c r="B561" s="14">
        <v>47</v>
      </c>
      <c r="C561" s="14">
        <v>8</v>
      </c>
      <c r="D561" s="27">
        <v>0</v>
      </c>
      <c r="E561" s="14">
        <v>0</v>
      </c>
      <c r="F561" s="14">
        <v>0</v>
      </c>
      <c r="G561" s="14">
        <v>0</v>
      </c>
      <c r="H561" s="28">
        <v>0</v>
      </c>
      <c r="I561" s="14">
        <v>0</v>
      </c>
      <c r="J561" s="24">
        <v>5</v>
      </c>
    </row>
    <row r="562" spans="1:10" x14ac:dyDescent="0.35">
      <c r="A562" s="12">
        <v>9</v>
      </c>
      <c r="B562" s="14">
        <v>47</v>
      </c>
      <c r="C562" s="14">
        <v>9</v>
      </c>
      <c r="D562" s="27">
        <v>1</v>
      </c>
      <c r="E562" s="14">
        <v>0</v>
      </c>
      <c r="F562" s="14">
        <v>0</v>
      </c>
      <c r="G562" s="14">
        <v>1</v>
      </c>
      <c r="H562" s="28">
        <v>0</v>
      </c>
      <c r="I562" s="14">
        <v>1</v>
      </c>
      <c r="J562" s="24">
        <v>2</v>
      </c>
    </row>
    <row r="563" spans="1:10" x14ac:dyDescent="0.35">
      <c r="A563" s="12">
        <v>10</v>
      </c>
      <c r="B563" s="14">
        <v>47</v>
      </c>
      <c r="C563" s="14">
        <v>10</v>
      </c>
      <c r="D563" s="27">
        <v>0</v>
      </c>
      <c r="E563" s="14">
        <v>0</v>
      </c>
      <c r="F563" s="14">
        <v>1</v>
      </c>
      <c r="G563" s="14">
        <v>1</v>
      </c>
      <c r="H563" s="28">
        <v>0</v>
      </c>
      <c r="I563" s="14">
        <v>1</v>
      </c>
      <c r="J563" s="24">
        <v>3</v>
      </c>
    </row>
    <row r="564" spans="1:10" x14ac:dyDescent="0.35">
      <c r="A564" s="12">
        <v>11</v>
      </c>
      <c r="B564" s="14">
        <v>47</v>
      </c>
      <c r="C564" s="14">
        <v>11</v>
      </c>
      <c r="D564" s="27">
        <v>0</v>
      </c>
      <c r="E564" s="14">
        <v>1</v>
      </c>
      <c r="F564" s="14">
        <v>0</v>
      </c>
      <c r="G564" s="14">
        <v>0</v>
      </c>
      <c r="H564" s="28">
        <v>0</v>
      </c>
      <c r="I564" s="14">
        <v>1</v>
      </c>
      <c r="J564" s="24">
        <v>2</v>
      </c>
    </row>
    <row r="565" spans="1:10" x14ac:dyDescent="0.35">
      <c r="A565" s="12">
        <v>12</v>
      </c>
      <c r="B565" s="14">
        <v>47</v>
      </c>
      <c r="C565" s="14">
        <v>12</v>
      </c>
      <c r="D565" s="27">
        <v>0</v>
      </c>
      <c r="E565" s="14">
        <v>1</v>
      </c>
      <c r="F565" s="14">
        <v>0</v>
      </c>
      <c r="G565" s="14">
        <v>1</v>
      </c>
      <c r="H565" s="28">
        <v>0</v>
      </c>
      <c r="I565" s="14">
        <v>0</v>
      </c>
      <c r="J565" s="24">
        <v>6</v>
      </c>
    </row>
    <row r="566" spans="1:10" x14ac:dyDescent="0.35">
      <c r="A566" s="12">
        <v>1</v>
      </c>
      <c r="B566" s="14">
        <v>48</v>
      </c>
      <c r="C566" s="14">
        <v>1</v>
      </c>
      <c r="D566" s="27">
        <v>1</v>
      </c>
      <c r="E566" s="14">
        <v>1</v>
      </c>
      <c r="F566" s="14">
        <v>0</v>
      </c>
      <c r="G566" s="14">
        <v>1</v>
      </c>
      <c r="H566" s="28">
        <v>1</v>
      </c>
      <c r="I566" s="14">
        <v>0</v>
      </c>
      <c r="J566" s="24">
        <v>5</v>
      </c>
    </row>
    <row r="567" spans="1:10" x14ac:dyDescent="0.35">
      <c r="A567" s="12">
        <v>2</v>
      </c>
      <c r="B567" s="14">
        <v>48</v>
      </c>
      <c r="C567" s="14">
        <v>2</v>
      </c>
      <c r="D567" s="27">
        <v>1</v>
      </c>
      <c r="E567" s="14">
        <v>1</v>
      </c>
      <c r="F567" s="14">
        <v>1</v>
      </c>
      <c r="G567" s="14">
        <v>0</v>
      </c>
      <c r="H567" s="28">
        <v>0</v>
      </c>
      <c r="I567" s="14">
        <v>1</v>
      </c>
      <c r="J567" s="24">
        <v>4</v>
      </c>
    </row>
    <row r="568" spans="1:10" x14ac:dyDescent="0.35">
      <c r="A568" s="12">
        <v>3</v>
      </c>
      <c r="B568" s="14">
        <v>48</v>
      </c>
      <c r="C568" s="14">
        <v>3</v>
      </c>
      <c r="D568" s="27">
        <v>0</v>
      </c>
      <c r="E568" s="14">
        <v>0</v>
      </c>
      <c r="F568" s="14">
        <v>1</v>
      </c>
      <c r="G568" s="14">
        <v>1</v>
      </c>
      <c r="H568" s="28">
        <v>1</v>
      </c>
      <c r="I568" s="14">
        <v>0</v>
      </c>
      <c r="J568" s="24">
        <v>4</v>
      </c>
    </row>
    <row r="569" spans="1:10" x14ac:dyDescent="0.35">
      <c r="A569" s="12">
        <v>4</v>
      </c>
      <c r="B569" s="14">
        <v>48</v>
      </c>
      <c r="C569" s="14">
        <v>4</v>
      </c>
      <c r="D569" s="27">
        <v>1</v>
      </c>
      <c r="E569" s="14">
        <v>1</v>
      </c>
      <c r="F569" s="14">
        <v>1</v>
      </c>
      <c r="G569" s="14">
        <v>1</v>
      </c>
      <c r="H569" s="28">
        <v>0</v>
      </c>
      <c r="I569" s="14">
        <v>0</v>
      </c>
      <c r="J569" s="24">
        <v>6</v>
      </c>
    </row>
    <row r="570" spans="1:10" x14ac:dyDescent="0.35">
      <c r="A570" s="12">
        <v>5</v>
      </c>
      <c r="B570" s="14">
        <v>48</v>
      </c>
      <c r="C570" s="14">
        <v>5</v>
      </c>
      <c r="D570" s="27">
        <v>1</v>
      </c>
      <c r="E570" s="14">
        <v>0</v>
      </c>
      <c r="F570" s="14">
        <v>1</v>
      </c>
      <c r="G570" s="14">
        <v>0</v>
      </c>
      <c r="H570" s="28">
        <v>0</v>
      </c>
      <c r="I570" s="14">
        <v>0</v>
      </c>
      <c r="J570" s="24">
        <v>5</v>
      </c>
    </row>
    <row r="571" spans="1:10" x14ac:dyDescent="0.35">
      <c r="A571" s="12">
        <v>6</v>
      </c>
      <c r="B571" s="14">
        <v>48</v>
      </c>
      <c r="C571" s="14">
        <v>6</v>
      </c>
      <c r="D571" s="27">
        <v>1</v>
      </c>
      <c r="E571" s="14">
        <v>0</v>
      </c>
      <c r="F571" s="14">
        <v>0</v>
      </c>
      <c r="G571" s="14">
        <v>0</v>
      </c>
      <c r="H571" s="28">
        <v>1</v>
      </c>
      <c r="I571" s="14">
        <v>0</v>
      </c>
      <c r="J571" s="24">
        <v>3</v>
      </c>
    </row>
    <row r="572" spans="1:10" x14ac:dyDescent="0.35">
      <c r="A572" s="12">
        <v>7</v>
      </c>
      <c r="B572" s="14">
        <v>48</v>
      </c>
      <c r="C572" s="14">
        <v>7</v>
      </c>
      <c r="D572" s="27">
        <v>0</v>
      </c>
      <c r="E572" s="14">
        <v>1</v>
      </c>
      <c r="F572" s="14">
        <v>1</v>
      </c>
      <c r="G572" s="14">
        <v>0</v>
      </c>
      <c r="H572" s="28">
        <v>1</v>
      </c>
      <c r="I572" s="14">
        <v>0</v>
      </c>
      <c r="J572" s="24">
        <v>4</v>
      </c>
    </row>
    <row r="573" spans="1:10" x14ac:dyDescent="0.35">
      <c r="A573" s="12">
        <v>8</v>
      </c>
      <c r="B573" s="14">
        <v>48</v>
      </c>
      <c r="C573" s="14">
        <v>8</v>
      </c>
      <c r="D573" s="27">
        <v>0</v>
      </c>
      <c r="E573" s="14">
        <v>0</v>
      </c>
      <c r="F573" s="14">
        <v>0</v>
      </c>
      <c r="G573" s="14">
        <v>0</v>
      </c>
      <c r="H573" s="28">
        <v>0</v>
      </c>
      <c r="I573" s="14">
        <v>0</v>
      </c>
      <c r="J573" s="24">
        <v>5</v>
      </c>
    </row>
    <row r="574" spans="1:10" x14ac:dyDescent="0.35">
      <c r="A574" s="12">
        <v>9</v>
      </c>
      <c r="B574" s="14">
        <v>48</v>
      </c>
      <c r="C574" s="14">
        <v>9</v>
      </c>
      <c r="D574" s="27">
        <v>1</v>
      </c>
      <c r="E574" s="14">
        <v>0</v>
      </c>
      <c r="F574" s="14">
        <v>0</v>
      </c>
      <c r="G574" s="14">
        <v>1</v>
      </c>
      <c r="H574" s="28">
        <v>0</v>
      </c>
      <c r="I574" s="14">
        <v>1</v>
      </c>
      <c r="J574" s="24">
        <v>3</v>
      </c>
    </row>
    <row r="575" spans="1:10" x14ac:dyDescent="0.35">
      <c r="A575" s="12">
        <v>10</v>
      </c>
      <c r="B575" s="14">
        <v>48</v>
      </c>
      <c r="C575" s="14">
        <v>10</v>
      </c>
      <c r="D575" s="27">
        <v>0</v>
      </c>
      <c r="E575" s="14">
        <v>0</v>
      </c>
      <c r="F575" s="14">
        <v>1</v>
      </c>
      <c r="G575" s="14">
        <v>1</v>
      </c>
      <c r="H575" s="28">
        <v>0</v>
      </c>
      <c r="I575" s="14">
        <v>1</v>
      </c>
      <c r="J575" s="24">
        <v>4</v>
      </c>
    </row>
    <row r="576" spans="1:10" x14ac:dyDescent="0.35">
      <c r="A576" s="12">
        <v>11</v>
      </c>
      <c r="B576" s="14">
        <v>48</v>
      </c>
      <c r="C576" s="14">
        <v>11</v>
      </c>
      <c r="D576" s="27">
        <v>0</v>
      </c>
      <c r="E576" s="14">
        <v>1</v>
      </c>
      <c r="F576" s="14">
        <v>0</v>
      </c>
      <c r="G576" s="14">
        <v>0</v>
      </c>
      <c r="H576" s="28">
        <v>0</v>
      </c>
      <c r="I576" s="14">
        <v>1</v>
      </c>
      <c r="J576" s="24">
        <v>3</v>
      </c>
    </row>
    <row r="577" spans="1:10" x14ac:dyDescent="0.35">
      <c r="A577" s="12">
        <v>12</v>
      </c>
      <c r="B577" s="14">
        <v>48</v>
      </c>
      <c r="C577" s="14">
        <v>12</v>
      </c>
      <c r="D577" s="27">
        <v>0</v>
      </c>
      <c r="E577" s="14">
        <v>1</v>
      </c>
      <c r="F577" s="14">
        <v>0</v>
      </c>
      <c r="G577" s="14">
        <v>1</v>
      </c>
      <c r="H577" s="28">
        <v>0</v>
      </c>
      <c r="I577" s="14">
        <v>0</v>
      </c>
      <c r="J577" s="24">
        <v>7</v>
      </c>
    </row>
    <row r="578" spans="1:10" x14ac:dyDescent="0.35">
      <c r="A578" s="12">
        <v>1</v>
      </c>
      <c r="B578" s="14">
        <v>49</v>
      </c>
      <c r="C578" s="14">
        <v>1</v>
      </c>
      <c r="D578" s="27">
        <v>1</v>
      </c>
      <c r="E578" s="14">
        <v>1</v>
      </c>
      <c r="F578" s="14">
        <v>0</v>
      </c>
      <c r="G578" s="14">
        <v>1</v>
      </c>
      <c r="H578" s="28">
        <v>1</v>
      </c>
      <c r="I578" s="14">
        <v>0</v>
      </c>
      <c r="J578" s="24">
        <v>6</v>
      </c>
    </row>
    <row r="579" spans="1:10" x14ac:dyDescent="0.35">
      <c r="A579" s="12">
        <v>2</v>
      </c>
      <c r="B579" s="14">
        <v>49</v>
      </c>
      <c r="C579" s="14">
        <v>2</v>
      </c>
      <c r="D579" s="27">
        <v>1</v>
      </c>
      <c r="E579" s="14">
        <v>1</v>
      </c>
      <c r="F579" s="14">
        <v>1</v>
      </c>
      <c r="G579" s="14">
        <v>0</v>
      </c>
      <c r="H579" s="28">
        <v>0</v>
      </c>
      <c r="I579" s="14">
        <v>1</v>
      </c>
      <c r="J579" s="24">
        <v>3</v>
      </c>
    </row>
    <row r="580" spans="1:10" x14ac:dyDescent="0.35">
      <c r="A580" s="12">
        <v>3</v>
      </c>
      <c r="B580" s="14">
        <v>49</v>
      </c>
      <c r="C580" s="14">
        <v>3</v>
      </c>
      <c r="D580" s="27">
        <v>0</v>
      </c>
      <c r="E580" s="14">
        <v>0</v>
      </c>
      <c r="F580" s="14">
        <v>1</v>
      </c>
      <c r="G580" s="14">
        <v>1</v>
      </c>
      <c r="H580" s="28">
        <v>1</v>
      </c>
      <c r="I580" s="14">
        <v>0</v>
      </c>
      <c r="J580" s="24">
        <v>4</v>
      </c>
    </row>
    <row r="581" spans="1:10" x14ac:dyDescent="0.35">
      <c r="A581" s="12">
        <v>4</v>
      </c>
      <c r="B581" s="14">
        <v>49</v>
      </c>
      <c r="C581" s="14">
        <v>4</v>
      </c>
      <c r="D581" s="27">
        <v>1</v>
      </c>
      <c r="E581" s="14">
        <v>1</v>
      </c>
      <c r="F581" s="14">
        <v>1</v>
      </c>
      <c r="G581" s="14">
        <v>1</v>
      </c>
      <c r="H581" s="28">
        <v>0</v>
      </c>
      <c r="I581" s="14">
        <v>0</v>
      </c>
      <c r="J581" s="24">
        <v>7</v>
      </c>
    </row>
    <row r="582" spans="1:10" x14ac:dyDescent="0.35">
      <c r="A582" s="12">
        <v>5</v>
      </c>
      <c r="B582" s="14">
        <v>49</v>
      </c>
      <c r="C582" s="14">
        <v>5</v>
      </c>
      <c r="D582" s="27">
        <v>1</v>
      </c>
      <c r="E582" s="14">
        <v>0</v>
      </c>
      <c r="F582" s="14">
        <v>1</v>
      </c>
      <c r="G582" s="14">
        <v>0</v>
      </c>
      <c r="H582" s="28">
        <v>0</v>
      </c>
      <c r="I582" s="14">
        <v>0</v>
      </c>
      <c r="J582" s="24">
        <v>5</v>
      </c>
    </row>
    <row r="583" spans="1:10" x14ac:dyDescent="0.35">
      <c r="A583" s="12">
        <v>6</v>
      </c>
      <c r="B583" s="14">
        <v>49</v>
      </c>
      <c r="C583" s="14">
        <v>6</v>
      </c>
      <c r="D583" s="27">
        <v>1</v>
      </c>
      <c r="E583" s="14">
        <v>0</v>
      </c>
      <c r="F583" s="14">
        <v>0</v>
      </c>
      <c r="G583" s="14">
        <v>0</v>
      </c>
      <c r="H583" s="28">
        <v>1</v>
      </c>
      <c r="I583" s="14">
        <v>0</v>
      </c>
      <c r="J583" s="24">
        <v>3</v>
      </c>
    </row>
    <row r="584" spans="1:10" x14ac:dyDescent="0.35">
      <c r="A584" s="12">
        <v>7</v>
      </c>
      <c r="B584" s="14">
        <v>49</v>
      </c>
      <c r="C584" s="14">
        <v>7</v>
      </c>
      <c r="D584" s="27">
        <v>0</v>
      </c>
      <c r="E584" s="14">
        <v>1</v>
      </c>
      <c r="F584" s="14">
        <v>1</v>
      </c>
      <c r="G584" s="14">
        <v>0</v>
      </c>
      <c r="H584" s="28">
        <v>1</v>
      </c>
      <c r="I584" s="14">
        <v>0</v>
      </c>
      <c r="J584" s="24">
        <v>4</v>
      </c>
    </row>
    <row r="585" spans="1:10" x14ac:dyDescent="0.35">
      <c r="A585" s="12">
        <v>8</v>
      </c>
      <c r="B585" s="14">
        <v>49</v>
      </c>
      <c r="C585" s="14">
        <v>8</v>
      </c>
      <c r="D585" s="27">
        <v>0</v>
      </c>
      <c r="E585" s="14">
        <v>0</v>
      </c>
      <c r="F585" s="14">
        <v>0</v>
      </c>
      <c r="G585" s="14">
        <v>0</v>
      </c>
      <c r="H585" s="28">
        <v>0</v>
      </c>
      <c r="I585" s="14">
        <v>0</v>
      </c>
      <c r="J585" s="24">
        <v>6</v>
      </c>
    </row>
    <row r="586" spans="1:10" x14ac:dyDescent="0.35">
      <c r="A586" s="12">
        <v>9</v>
      </c>
      <c r="B586" s="14">
        <v>49</v>
      </c>
      <c r="C586" s="14">
        <v>9</v>
      </c>
      <c r="D586" s="27">
        <v>1</v>
      </c>
      <c r="E586" s="14">
        <v>0</v>
      </c>
      <c r="F586" s="14">
        <v>0</v>
      </c>
      <c r="G586" s="14">
        <v>1</v>
      </c>
      <c r="H586" s="28">
        <v>0</v>
      </c>
      <c r="I586" s="14">
        <v>1</v>
      </c>
      <c r="J586" s="24">
        <v>2</v>
      </c>
    </row>
    <row r="587" spans="1:10" x14ac:dyDescent="0.35">
      <c r="A587" s="12">
        <v>10</v>
      </c>
      <c r="B587" s="14">
        <v>49</v>
      </c>
      <c r="C587" s="14">
        <v>10</v>
      </c>
      <c r="D587" s="27">
        <v>0</v>
      </c>
      <c r="E587" s="14">
        <v>0</v>
      </c>
      <c r="F587" s="14">
        <v>1</v>
      </c>
      <c r="G587" s="14">
        <v>1</v>
      </c>
      <c r="H587" s="28">
        <v>0</v>
      </c>
      <c r="I587" s="14">
        <v>1</v>
      </c>
      <c r="J587" s="24">
        <v>4</v>
      </c>
    </row>
    <row r="588" spans="1:10" x14ac:dyDescent="0.35">
      <c r="A588" s="12">
        <v>11</v>
      </c>
      <c r="B588" s="14">
        <v>49</v>
      </c>
      <c r="C588" s="14">
        <v>11</v>
      </c>
      <c r="D588" s="27">
        <v>0</v>
      </c>
      <c r="E588" s="14">
        <v>1</v>
      </c>
      <c r="F588" s="14">
        <v>0</v>
      </c>
      <c r="G588" s="14">
        <v>0</v>
      </c>
      <c r="H588" s="28">
        <v>0</v>
      </c>
      <c r="I588" s="14">
        <v>1</v>
      </c>
      <c r="J588" s="24">
        <v>3</v>
      </c>
    </row>
    <row r="589" spans="1:10" x14ac:dyDescent="0.35">
      <c r="A589" s="12">
        <v>12</v>
      </c>
      <c r="B589" s="14">
        <v>49</v>
      </c>
      <c r="C589" s="14">
        <v>12</v>
      </c>
      <c r="D589" s="27">
        <v>0</v>
      </c>
      <c r="E589" s="14">
        <v>1</v>
      </c>
      <c r="F589" s="14">
        <v>0</v>
      </c>
      <c r="G589" s="14">
        <v>1</v>
      </c>
      <c r="H589" s="28">
        <v>0</v>
      </c>
      <c r="I589" s="14">
        <v>0</v>
      </c>
      <c r="J589" s="24">
        <v>7</v>
      </c>
    </row>
    <row r="590" spans="1:10" x14ac:dyDescent="0.35">
      <c r="A590" s="12">
        <v>1</v>
      </c>
      <c r="B590" s="14">
        <v>50</v>
      </c>
      <c r="C590" s="14">
        <v>1</v>
      </c>
      <c r="D590" s="27">
        <v>1</v>
      </c>
      <c r="E590" s="14">
        <v>1</v>
      </c>
      <c r="F590" s="14">
        <v>0</v>
      </c>
      <c r="G590" s="14">
        <v>1</v>
      </c>
      <c r="H590" s="28">
        <v>1</v>
      </c>
      <c r="I590" s="14">
        <v>0</v>
      </c>
      <c r="J590" s="24">
        <v>5</v>
      </c>
    </row>
    <row r="591" spans="1:10" x14ac:dyDescent="0.35">
      <c r="A591" s="12">
        <v>2</v>
      </c>
      <c r="B591" s="14">
        <v>50</v>
      </c>
      <c r="C591" s="14">
        <v>2</v>
      </c>
      <c r="D591" s="27">
        <v>1</v>
      </c>
      <c r="E591" s="14">
        <v>1</v>
      </c>
      <c r="F591" s="14">
        <v>1</v>
      </c>
      <c r="G591" s="14">
        <v>0</v>
      </c>
      <c r="H591" s="28">
        <v>0</v>
      </c>
      <c r="I591" s="14">
        <v>1</v>
      </c>
      <c r="J591" s="24">
        <v>3</v>
      </c>
    </row>
    <row r="592" spans="1:10" x14ac:dyDescent="0.35">
      <c r="A592" s="12">
        <v>3</v>
      </c>
      <c r="B592" s="14">
        <v>50</v>
      </c>
      <c r="C592" s="14">
        <v>3</v>
      </c>
      <c r="D592" s="27">
        <v>0</v>
      </c>
      <c r="E592" s="14">
        <v>0</v>
      </c>
      <c r="F592" s="14">
        <v>1</v>
      </c>
      <c r="G592" s="14">
        <v>1</v>
      </c>
      <c r="H592" s="28">
        <v>1</v>
      </c>
      <c r="I592" s="14">
        <v>0</v>
      </c>
      <c r="J592" s="24">
        <v>3</v>
      </c>
    </row>
    <row r="593" spans="1:10" x14ac:dyDescent="0.35">
      <c r="A593" s="12">
        <v>4</v>
      </c>
      <c r="B593" s="14">
        <v>50</v>
      </c>
      <c r="C593" s="14">
        <v>4</v>
      </c>
      <c r="D593" s="27">
        <v>1</v>
      </c>
      <c r="E593" s="14">
        <v>1</v>
      </c>
      <c r="F593" s="14">
        <v>1</v>
      </c>
      <c r="G593" s="14">
        <v>1</v>
      </c>
      <c r="H593" s="28">
        <v>0</v>
      </c>
      <c r="I593" s="14">
        <v>0</v>
      </c>
      <c r="J593" s="24">
        <v>6</v>
      </c>
    </row>
    <row r="594" spans="1:10" x14ac:dyDescent="0.35">
      <c r="A594" s="12">
        <v>5</v>
      </c>
      <c r="B594" s="14">
        <v>50</v>
      </c>
      <c r="C594" s="14">
        <v>5</v>
      </c>
      <c r="D594" s="27">
        <v>1</v>
      </c>
      <c r="E594" s="14">
        <v>0</v>
      </c>
      <c r="F594" s="14">
        <v>1</v>
      </c>
      <c r="G594" s="14">
        <v>0</v>
      </c>
      <c r="H594" s="28">
        <v>0</v>
      </c>
      <c r="I594" s="14">
        <v>0</v>
      </c>
      <c r="J594" s="24">
        <v>5</v>
      </c>
    </row>
    <row r="595" spans="1:10" x14ac:dyDescent="0.35">
      <c r="A595" s="12">
        <v>6</v>
      </c>
      <c r="B595" s="14">
        <v>50</v>
      </c>
      <c r="C595" s="14">
        <v>6</v>
      </c>
      <c r="D595" s="27">
        <v>1</v>
      </c>
      <c r="E595" s="14">
        <v>0</v>
      </c>
      <c r="F595" s="14">
        <v>0</v>
      </c>
      <c r="G595" s="14">
        <v>0</v>
      </c>
      <c r="H595" s="28">
        <v>1</v>
      </c>
      <c r="I595" s="14">
        <v>0</v>
      </c>
      <c r="J595" s="24">
        <v>3</v>
      </c>
    </row>
    <row r="596" spans="1:10" x14ac:dyDescent="0.35">
      <c r="A596" s="12">
        <v>7</v>
      </c>
      <c r="B596" s="14">
        <v>50</v>
      </c>
      <c r="C596" s="14">
        <v>7</v>
      </c>
      <c r="D596" s="27">
        <v>0</v>
      </c>
      <c r="E596" s="14">
        <v>1</v>
      </c>
      <c r="F596" s="14">
        <v>1</v>
      </c>
      <c r="G596" s="14">
        <v>0</v>
      </c>
      <c r="H596" s="28">
        <v>1</v>
      </c>
      <c r="I596" s="14">
        <v>0</v>
      </c>
      <c r="J596" s="24">
        <v>4</v>
      </c>
    </row>
    <row r="597" spans="1:10" x14ac:dyDescent="0.35">
      <c r="A597" s="12">
        <v>8</v>
      </c>
      <c r="B597" s="14">
        <v>50</v>
      </c>
      <c r="C597" s="14">
        <v>8</v>
      </c>
      <c r="D597" s="27">
        <v>0</v>
      </c>
      <c r="E597" s="14">
        <v>0</v>
      </c>
      <c r="F597" s="14">
        <v>0</v>
      </c>
      <c r="G597" s="14">
        <v>0</v>
      </c>
      <c r="H597" s="28">
        <v>0</v>
      </c>
      <c r="I597" s="14">
        <v>0</v>
      </c>
      <c r="J597" s="24">
        <v>5</v>
      </c>
    </row>
    <row r="598" spans="1:10" x14ac:dyDescent="0.35">
      <c r="A598" s="12">
        <v>9</v>
      </c>
      <c r="B598" s="14">
        <v>50</v>
      </c>
      <c r="C598" s="14">
        <v>9</v>
      </c>
      <c r="D598" s="27">
        <v>1</v>
      </c>
      <c r="E598" s="14">
        <v>0</v>
      </c>
      <c r="F598" s="14">
        <v>0</v>
      </c>
      <c r="G598" s="14">
        <v>1</v>
      </c>
      <c r="H598" s="28">
        <v>0</v>
      </c>
      <c r="I598" s="14">
        <v>1</v>
      </c>
      <c r="J598" s="24">
        <v>3</v>
      </c>
    </row>
    <row r="599" spans="1:10" x14ac:dyDescent="0.35">
      <c r="A599" s="12">
        <v>10</v>
      </c>
      <c r="B599" s="14">
        <v>50</v>
      </c>
      <c r="C599" s="14">
        <v>10</v>
      </c>
      <c r="D599" s="27">
        <v>0</v>
      </c>
      <c r="E599" s="14">
        <v>0</v>
      </c>
      <c r="F599" s="14">
        <v>1</v>
      </c>
      <c r="G599" s="14">
        <v>1</v>
      </c>
      <c r="H599" s="28">
        <v>0</v>
      </c>
      <c r="I599" s="14">
        <v>1</v>
      </c>
      <c r="J599" s="24">
        <v>4</v>
      </c>
    </row>
    <row r="600" spans="1:10" x14ac:dyDescent="0.35">
      <c r="A600" s="12">
        <v>11</v>
      </c>
      <c r="B600" s="14">
        <v>50</v>
      </c>
      <c r="C600" s="14">
        <v>11</v>
      </c>
      <c r="D600" s="27">
        <v>0</v>
      </c>
      <c r="E600" s="14">
        <v>1</v>
      </c>
      <c r="F600" s="14">
        <v>0</v>
      </c>
      <c r="G600" s="14">
        <v>0</v>
      </c>
      <c r="H600" s="28">
        <v>0</v>
      </c>
      <c r="I600" s="14">
        <v>1</v>
      </c>
      <c r="J600" s="24">
        <v>3</v>
      </c>
    </row>
    <row r="601" spans="1:10" x14ac:dyDescent="0.35">
      <c r="A601" s="12">
        <v>12</v>
      </c>
      <c r="B601" s="14">
        <v>50</v>
      </c>
      <c r="C601" s="14">
        <v>12</v>
      </c>
      <c r="D601" s="27">
        <v>0</v>
      </c>
      <c r="E601" s="14">
        <v>1</v>
      </c>
      <c r="F601" s="14">
        <v>0</v>
      </c>
      <c r="G601" s="14">
        <v>1</v>
      </c>
      <c r="H601" s="28">
        <v>0</v>
      </c>
      <c r="I601" s="14">
        <v>0</v>
      </c>
      <c r="J601" s="24">
        <v>6</v>
      </c>
    </row>
    <row r="602" spans="1:10" x14ac:dyDescent="0.35">
      <c r="A602" s="12"/>
      <c r="B602" s="8"/>
      <c r="C602" s="8"/>
      <c r="D602" s="8"/>
      <c r="E602" s="8"/>
      <c r="F602" s="8"/>
      <c r="G602" s="8"/>
      <c r="H602" s="8"/>
      <c r="I602" s="8"/>
      <c r="J602" s="8"/>
    </row>
    <row r="603" spans="1:10" x14ac:dyDescent="0.35">
      <c r="A603" s="12"/>
      <c r="B603" s="8"/>
      <c r="C603" s="8"/>
      <c r="D603" s="8"/>
      <c r="E603" s="8"/>
      <c r="F603" s="8"/>
      <c r="G603" s="8"/>
      <c r="H603" s="8"/>
      <c r="I603" s="8"/>
      <c r="J603" s="8"/>
    </row>
    <row r="604" spans="1:10" x14ac:dyDescent="0.35">
      <c r="A604" s="12"/>
      <c r="B604" s="8"/>
      <c r="C604" s="8"/>
      <c r="D604" s="8"/>
      <c r="E604" s="8"/>
      <c r="F604" s="8"/>
      <c r="G604" s="8"/>
      <c r="H604" s="8"/>
      <c r="I604" s="8"/>
      <c r="J604" s="8"/>
    </row>
    <row r="605" spans="1:10" x14ac:dyDescent="0.35">
      <c r="A605" s="12"/>
      <c r="B605" s="8"/>
      <c r="C605" s="8"/>
      <c r="D605" s="8"/>
      <c r="E605" s="8"/>
      <c r="F605" s="8"/>
      <c r="G605" s="8"/>
      <c r="H605" s="8"/>
      <c r="I605" s="8"/>
      <c r="J605" s="8"/>
    </row>
    <row r="606" spans="1:10" x14ac:dyDescent="0.35">
      <c r="A606" s="12"/>
      <c r="B606" s="8"/>
      <c r="C606" s="8"/>
      <c r="D606" s="8"/>
      <c r="E606" s="8"/>
      <c r="F606" s="8"/>
      <c r="G606" s="8"/>
      <c r="H606" s="8"/>
      <c r="I606" s="8"/>
      <c r="J606" s="8"/>
    </row>
    <row r="607" spans="1:10" x14ac:dyDescent="0.35">
      <c r="A607" s="12"/>
      <c r="B607" s="8"/>
      <c r="C607" s="8"/>
      <c r="D607" s="8"/>
      <c r="E607" s="8"/>
      <c r="F607" s="8"/>
      <c r="G607" s="8"/>
      <c r="H607" s="8"/>
      <c r="I607" s="8"/>
      <c r="J607" s="8"/>
    </row>
    <row r="608" spans="1:10" x14ac:dyDescent="0.35">
      <c r="A608" s="12"/>
      <c r="B608" s="8"/>
      <c r="C608" s="8"/>
      <c r="D608" s="8"/>
      <c r="E608" s="8"/>
      <c r="F608" s="8"/>
      <c r="G608" s="8"/>
      <c r="H608" s="8"/>
      <c r="I608" s="8"/>
      <c r="J608" s="8"/>
    </row>
    <row r="609" spans="1:10" x14ac:dyDescent="0.35">
      <c r="A609" s="12"/>
      <c r="B609" s="8"/>
      <c r="C609" s="8"/>
      <c r="D609" s="8"/>
      <c r="E609" s="8"/>
      <c r="F609" s="8"/>
      <c r="G609" s="8"/>
      <c r="H609" s="8"/>
      <c r="I609" s="8"/>
      <c r="J609" s="8"/>
    </row>
    <row r="610" spans="1:10" x14ac:dyDescent="0.35">
      <c r="A610" s="12"/>
      <c r="B610" s="8"/>
      <c r="C610" s="8"/>
      <c r="D610" s="8"/>
      <c r="E610" s="8"/>
      <c r="F610" s="8"/>
      <c r="G610" s="8"/>
      <c r="H610" s="8"/>
      <c r="I610" s="8"/>
      <c r="J610" s="8"/>
    </row>
    <row r="611" spans="1:10" x14ac:dyDescent="0.35">
      <c r="A611" s="12"/>
      <c r="B611" s="8"/>
      <c r="C611" s="8"/>
      <c r="D611" s="8"/>
      <c r="E611" s="8"/>
      <c r="F611" s="8"/>
      <c r="G611" s="8"/>
      <c r="H611" s="8"/>
      <c r="I611" s="8"/>
      <c r="J611" s="8"/>
    </row>
    <row r="612" spans="1:10" x14ac:dyDescent="0.35">
      <c r="A612" s="12"/>
      <c r="B612" s="8"/>
      <c r="C612" s="8"/>
      <c r="D612" s="8"/>
      <c r="E612" s="8"/>
      <c r="F612" s="8"/>
      <c r="G612" s="8"/>
      <c r="H612" s="8"/>
      <c r="I612" s="8"/>
      <c r="J612" s="8"/>
    </row>
    <row r="613" spans="1:10" x14ac:dyDescent="0.35">
      <c r="A613" s="12"/>
      <c r="B613" s="8"/>
      <c r="C613" s="8"/>
      <c r="D613" s="8"/>
      <c r="E613" s="8"/>
      <c r="F613" s="8"/>
      <c r="G613" s="8"/>
      <c r="H613" s="8"/>
      <c r="I613" s="8"/>
      <c r="J613" s="8"/>
    </row>
    <row r="614" spans="1:10" x14ac:dyDescent="0.35">
      <c r="A614" s="12"/>
      <c r="B614" s="8"/>
      <c r="C614" s="8"/>
      <c r="D614" s="8"/>
      <c r="E614" s="8"/>
      <c r="F614" s="8"/>
      <c r="G614" s="8"/>
      <c r="H614" s="8"/>
      <c r="I614" s="8"/>
      <c r="J614" s="8"/>
    </row>
    <row r="615" spans="1:10" x14ac:dyDescent="0.35">
      <c r="A615" s="12"/>
      <c r="B615" s="8"/>
      <c r="C615" s="8"/>
      <c r="D615" s="8"/>
      <c r="E615" s="8"/>
      <c r="F615" s="8"/>
      <c r="G615" s="8"/>
      <c r="H615" s="8"/>
      <c r="I615" s="8"/>
      <c r="J615" s="8"/>
    </row>
    <row r="616" spans="1:10" x14ac:dyDescent="0.35">
      <c r="A616" s="12"/>
      <c r="B616" s="8"/>
      <c r="C616" s="8"/>
      <c r="D616" s="8"/>
      <c r="E616" s="8"/>
      <c r="F616" s="8"/>
      <c r="G616" s="8"/>
      <c r="H616" s="8"/>
      <c r="I616" s="8"/>
      <c r="J616" s="8"/>
    </row>
    <row r="617" spans="1:10" x14ac:dyDescent="0.35">
      <c r="A617" s="12"/>
      <c r="B617" s="8"/>
      <c r="C617" s="8"/>
      <c r="D617" s="8"/>
      <c r="E617" s="8"/>
      <c r="F617" s="8"/>
      <c r="G617" s="8"/>
      <c r="H617" s="8"/>
      <c r="I617" s="8"/>
      <c r="J617" s="8"/>
    </row>
    <row r="618" spans="1:10" x14ac:dyDescent="0.35">
      <c r="A618" s="12"/>
      <c r="B618" s="8"/>
      <c r="C618" s="8"/>
      <c r="D618" s="8"/>
      <c r="E618" s="8"/>
      <c r="F618" s="8"/>
      <c r="G618" s="8"/>
      <c r="H618" s="8"/>
      <c r="I618" s="8"/>
      <c r="J618" s="8"/>
    </row>
    <row r="619" spans="1:10" x14ac:dyDescent="0.35">
      <c r="A619" s="12"/>
      <c r="B619" s="8"/>
      <c r="C619" s="8"/>
      <c r="D619" s="8"/>
      <c r="E619" s="8"/>
      <c r="F619" s="8"/>
      <c r="G619" s="8"/>
      <c r="H619" s="8"/>
      <c r="I619" s="8"/>
      <c r="J619" s="8"/>
    </row>
    <row r="620" spans="1:10" x14ac:dyDescent="0.35">
      <c r="A620" s="12"/>
      <c r="B620" s="8"/>
      <c r="C620" s="8"/>
      <c r="D620" s="8"/>
      <c r="E620" s="8"/>
      <c r="F620" s="8"/>
      <c r="G620" s="8"/>
      <c r="H620" s="8"/>
      <c r="I620" s="8"/>
      <c r="J620" s="8"/>
    </row>
    <row r="621" spans="1:10" x14ac:dyDescent="0.35">
      <c r="A621" s="12"/>
      <c r="B621" s="8"/>
      <c r="C621" s="8"/>
      <c r="D621" s="8"/>
      <c r="E621" s="8"/>
      <c r="F621" s="8"/>
      <c r="G621" s="8"/>
      <c r="H621" s="8"/>
      <c r="I621" s="8"/>
      <c r="J621" s="8"/>
    </row>
    <row r="622" spans="1:10" x14ac:dyDescent="0.35">
      <c r="A622" s="12"/>
      <c r="B622" s="8"/>
      <c r="C622" s="8"/>
      <c r="D622" s="8"/>
      <c r="E622" s="8"/>
      <c r="F622" s="8"/>
      <c r="G622" s="8"/>
      <c r="H622" s="8"/>
      <c r="I622" s="8"/>
      <c r="J622" s="8"/>
    </row>
    <row r="623" spans="1:10" x14ac:dyDescent="0.35">
      <c r="A623" s="12"/>
      <c r="B623" s="8"/>
      <c r="C623" s="8"/>
      <c r="D623" s="8"/>
      <c r="E623" s="8"/>
      <c r="F623" s="8"/>
      <c r="G623" s="8"/>
      <c r="H623" s="8"/>
      <c r="I623" s="8"/>
      <c r="J623" s="8"/>
    </row>
    <row r="624" spans="1:10" x14ac:dyDescent="0.35">
      <c r="A624" s="12"/>
      <c r="B624" s="8"/>
      <c r="C624" s="8"/>
      <c r="D624" s="8"/>
      <c r="E624" s="8"/>
      <c r="F624" s="8"/>
      <c r="G624" s="8"/>
      <c r="H624" s="8"/>
      <c r="I624" s="8"/>
      <c r="J624" s="8"/>
    </row>
    <row r="625" spans="1:10" x14ac:dyDescent="0.35">
      <c r="A625" s="12"/>
      <c r="B625" s="8"/>
      <c r="C625" s="8"/>
      <c r="D625" s="8"/>
      <c r="E625" s="8"/>
      <c r="F625" s="8"/>
      <c r="G625" s="8"/>
      <c r="H625" s="8"/>
      <c r="I625" s="8"/>
      <c r="J625" s="8"/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D3A4-C7E0-441A-98DE-D5031586912C}">
  <dimension ref="A2:U59"/>
  <sheetViews>
    <sheetView topLeftCell="F1" workbookViewId="0">
      <selection activeCell="J39" sqref="J39"/>
    </sheetView>
  </sheetViews>
  <sheetFormatPr defaultRowHeight="14.5" x14ac:dyDescent="0.35"/>
  <cols>
    <col min="2" max="2" width="26.54296875" customWidth="1"/>
    <col min="3" max="3" width="15.08984375" customWidth="1"/>
    <col min="4" max="4" width="18.26953125" bestFit="1" customWidth="1"/>
    <col min="5" max="5" width="7.6328125" customWidth="1"/>
    <col min="6" max="6" width="9.26953125" bestFit="1" customWidth="1"/>
    <col min="8" max="8" width="9.36328125" customWidth="1"/>
    <col min="9" max="9" width="9.453125" customWidth="1"/>
    <col min="10" max="10" width="12.7265625" bestFit="1" customWidth="1"/>
    <col min="11" max="11" width="10.6328125" bestFit="1" customWidth="1"/>
    <col min="12" max="12" width="15.90625" bestFit="1" customWidth="1"/>
    <col min="13" max="13" width="20.453125" bestFit="1" customWidth="1"/>
    <col min="14" max="14" width="9.08984375" bestFit="1" customWidth="1"/>
    <col min="16" max="16" width="14.54296875" bestFit="1" customWidth="1"/>
    <col min="17" max="17" width="13.6328125" bestFit="1" customWidth="1"/>
    <col min="18" max="18" width="11.90625" bestFit="1" customWidth="1"/>
    <col min="19" max="19" width="20.81640625" customWidth="1"/>
    <col min="20" max="20" width="31.1796875" bestFit="1" customWidth="1"/>
  </cols>
  <sheetData>
    <row r="2" spans="1:21" s="83" customFormat="1" x14ac:dyDescent="0.35">
      <c r="A2" s="82"/>
      <c r="B2" s="124" t="s">
        <v>299</v>
      </c>
      <c r="C2" s="125"/>
      <c r="D2" s="126"/>
      <c r="E2" s="124" t="s">
        <v>259</v>
      </c>
      <c r="F2" s="125"/>
      <c r="G2" s="125"/>
      <c r="H2" s="126"/>
      <c r="I2" s="124" t="s">
        <v>260</v>
      </c>
      <c r="J2" s="126"/>
      <c r="K2" s="124" t="s">
        <v>262</v>
      </c>
      <c r="L2" s="126"/>
      <c r="M2" s="127" t="s">
        <v>263</v>
      </c>
      <c r="N2" s="128"/>
      <c r="O2" s="129"/>
      <c r="P2" s="124" t="s">
        <v>300</v>
      </c>
      <c r="Q2" s="125"/>
      <c r="R2" s="126"/>
      <c r="S2" s="82"/>
      <c r="T2" s="82"/>
    </row>
    <row r="3" spans="1:21" x14ac:dyDescent="0.35">
      <c r="A3" s="14" t="s">
        <v>257</v>
      </c>
      <c r="B3" s="78" t="s">
        <v>266</v>
      </c>
      <c r="C3" s="78" t="s">
        <v>288</v>
      </c>
      <c r="D3" s="78" t="s">
        <v>289</v>
      </c>
      <c r="E3" s="74" t="s">
        <v>259</v>
      </c>
      <c r="F3" s="74" t="s">
        <v>267</v>
      </c>
      <c r="G3" s="74" t="s">
        <v>290</v>
      </c>
      <c r="H3" s="74" t="s">
        <v>291</v>
      </c>
      <c r="I3" s="79" t="s">
        <v>260</v>
      </c>
      <c r="J3" s="79" t="s">
        <v>268</v>
      </c>
      <c r="K3" s="80" t="s">
        <v>262</v>
      </c>
      <c r="L3" s="80" t="s">
        <v>271</v>
      </c>
      <c r="M3" s="81" t="s">
        <v>263</v>
      </c>
      <c r="N3" s="81" t="s">
        <v>292</v>
      </c>
      <c r="O3" s="81" t="s">
        <v>293</v>
      </c>
      <c r="P3" s="74" t="s">
        <v>294</v>
      </c>
      <c r="Q3" s="74" t="s">
        <v>295</v>
      </c>
      <c r="R3" s="74" t="s">
        <v>296</v>
      </c>
      <c r="S3" s="75" t="s">
        <v>297</v>
      </c>
      <c r="T3" s="75" t="s">
        <v>298</v>
      </c>
      <c r="U3" s="73"/>
    </row>
    <row r="4" spans="1:21" x14ac:dyDescent="0.35">
      <c r="A4" s="14">
        <v>1</v>
      </c>
      <c r="B4" s="24">
        <v>1</v>
      </c>
      <c r="C4" s="24">
        <f>IF(OR(B4=1, B4=2), 1, 0)</f>
        <v>1</v>
      </c>
      <c r="D4" s="24">
        <f>IF(OR(B4=3, B4=4), 1, 0)</f>
        <v>0</v>
      </c>
      <c r="E4" s="24" t="s">
        <v>49</v>
      </c>
      <c r="F4" s="24" cm="1">
        <f t="array" ref="F4">_xlfn.IFS(E4="18 - 24", 1, E4="25 - 34", 2, E4="35 - 44", 3, E4="45 - 54", 4)</f>
        <v>2</v>
      </c>
      <c r="G4" s="24">
        <f>IF(E4="18 - 24",1,0)</f>
        <v>0</v>
      </c>
      <c r="H4" s="24">
        <f>IF(E4="25 - 34", 1, 0)</f>
        <v>1</v>
      </c>
      <c r="I4" s="77" t="s">
        <v>50</v>
      </c>
      <c r="J4" s="24">
        <f>IF(I4= "Male",1,0)</f>
        <v>1</v>
      </c>
      <c r="K4" s="77" t="s">
        <v>52</v>
      </c>
      <c r="L4" s="24">
        <f>IF(K4="Student",1,0)</f>
        <v>1</v>
      </c>
      <c r="M4" s="77" t="s">
        <v>53</v>
      </c>
      <c r="N4" s="24">
        <f>IF(M4="Under €199", 1, 0)</f>
        <v>0</v>
      </c>
      <c r="O4" s="14">
        <f>IF(M4="€199-€249", 1, 0)</f>
        <v>1</v>
      </c>
      <c r="P4" s="24">
        <v>1</v>
      </c>
      <c r="Q4" s="14">
        <f>IF(P4=1, 1, 0)</f>
        <v>1</v>
      </c>
      <c r="R4" s="14">
        <f>IF(P4=3, 1, 0)</f>
        <v>0</v>
      </c>
      <c r="S4" s="14">
        <f>C4*Q4</f>
        <v>1</v>
      </c>
      <c r="T4" s="14">
        <f>IF(AND(G4=1, N4=1), 1, 0)</f>
        <v>0</v>
      </c>
    </row>
    <row r="5" spans="1:21" x14ac:dyDescent="0.35">
      <c r="A5" s="14">
        <v>2</v>
      </c>
      <c r="B5" s="24">
        <v>2</v>
      </c>
      <c r="C5" s="24">
        <f t="shared" ref="C5:C59" si="0">IF(OR(B5=1, B5=2), 1, 0)</f>
        <v>1</v>
      </c>
      <c r="D5" s="24">
        <f t="shared" ref="D5:D59" si="1">IF(OR(B5=3, B5=4), 1, 0)</f>
        <v>0</v>
      </c>
      <c r="E5" s="24" t="s">
        <v>59</v>
      </c>
      <c r="F5" s="24" cm="1">
        <f t="array" ref="F5">_xlfn.IFS(E5="18 - 24", 1, E5="25 - 34", 2, E5="35 - 44", 3, E5="45 - 54", 4)</f>
        <v>1</v>
      </c>
      <c r="G5" s="24">
        <f t="shared" ref="G5:G59" si="2">IF(E5="18 - 24",1,0)</f>
        <v>1</v>
      </c>
      <c r="H5" s="24">
        <f t="shared" ref="H5:H59" si="3">IF(E5="25 - 34", 1, 0)</f>
        <v>0</v>
      </c>
      <c r="I5" s="77" t="s">
        <v>50</v>
      </c>
      <c r="J5" s="24">
        <f t="shared" ref="J5:J58" si="4">IF(I5= "Male",1,0)</f>
        <v>1</v>
      </c>
      <c r="K5" s="77" t="s">
        <v>52</v>
      </c>
      <c r="L5" s="24">
        <f t="shared" ref="L5:L59" si="5">IF(K5="Student",1,0)</f>
        <v>1</v>
      </c>
      <c r="M5" s="77" t="s">
        <v>60</v>
      </c>
      <c r="N5" s="24">
        <f t="shared" ref="N5:N59" si="6">IF(OR(M5="Under €199", M5="€199-€249"), 1, 0)</f>
        <v>1</v>
      </c>
      <c r="O5" s="14">
        <f t="shared" ref="O5:O59" si="7">IF(M5="Over €399", 1, 0)</f>
        <v>0</v>
      </c>
      <c r="P5" s="24">
        <v>1</v>
      </c>
      <c r="Q5" s="14">
        <f t="shared" ref="Q5:Q59" si="8">IF(P5=1, 1, 0)</f>
        <v>1</v>
      </c>
      <c r="R5" s="14">
        <f t="shared" ref="R5:R59" si="9">IF(P5=3, 1, 0)</f>
        <v>0</v>
      </c>
      <c r="S5" s="14">
        <f t="shared" ref="S5:S59" si="10">C5*Q5</f>
        <v>1</v>
      </c>
      <c r="T5" s="14">
        <f t="shared" ref="T5:T59" si="11">IF(AND(G5=1, N5=1), 1, 0)</f>
        <v>1</v>
      </c>
    </row>
    <row r="6" spans="1:21" ht="29" x14ac:dyDescent="0.35">
      <c r="A6" s="14">
        <v>3</v>
      </c>
      <c r="B6" s="24">
        <v>1</v>
      </c>
      <c r="C6" s="24">
        <f t="shared" si="0"/>
        <v>1</v>
      </c>
      <c r="D6" s="24">
        <f t="shared" si="1"/>
        <v>0</v>
      </c>
      <c r="E6" s="24" t="s">
        <v>59</v>
      </c>
      <c r="F6" s="24" cm="1">
        <f t="array" ref="F6">_xlfn.IFS(E6="18 - 24", 1, E6="25 - 34", 2, E6="35 - 44", 3, E6="45 - 54", 4)</f>
        <v>1</v>
      </c>
      <c r="G6" s="24">
        <f t="shared" si="2"/>
        <v>1</v>
      </c>
      <c r="H6" s="24">
        <f t="shared" si="3"/>
        <v>0</v>
      </c>
      <c r="I6" s="77" t="s">
        <v>50</v>
      </c>
      <c r="J6" s="24">
        <f t="shared" si="4"/>
        <v>1</v>
      </c>
      <c r="K6" s="77" t="s">
        <v>67</v>
      </c>
      <c r="L6" s="24">
        <f t="shared" si="5"/>
        <v>0</v>
      </c>
      <c r="M6" s="77" t="s">
        <v>53</v>
      </c>
      <c r="N6" s="24">
        <f t="shared" si="6"/>
        <v>1</v>
      </c>
      <c r="O6" s="14">
        <f t="shared" si="7"/>
        <v>0</v>
      </c>
      <c r="P6" s="24">
        <v>1</v>
      </c>
      <c r="Q6" s="14">
        <f t="shared" si="8"/>
        <v>1</v>
      </c>
      <c r="R6" s="14">
        <f t="shared" si="9"/>
        <v>0</v>
      </c>
      <c r="S6" s="14">
        <f t="shared" si="10"/>
        <v>1</v>
      </c>
      <c r="T6" s="14">
        <f t="shared" si="11"/>
        <v>1</v>
      </c>
    </row>
    <row r="7" spans="1:21" x14ac:dyDescent="0.35">
      <c r="A7" s="14">
        <v>4</v>
      </c>
      <c r="B7" s="24">
        <v>1</v>
      </c>
      <c r="C7" s="24">
        <f t="shared" si="0"/>
        <v>1</v>
      </c>
      <c r="D7" s="24">
        <f t="shared" si="1"/>
        <v>0</v>
      </c>
      <c r="E7" s="24" t="s">
        <v>49</v>
      </c>
      <c r="F7" s="24" cm="1">
        <f t="array" ref="F7">_xlfn.IFS(E7="18 - 24", 1, E7="25 - 34", 2, E7="35 - 44", 3, E7="45 - 54", 4)</f>
        <v>2</v>
      </c>
      <c r="G7" s="24">
        <f t="shared" si="2"/>
        <v>0</v>
      </c>
      <c r="H7" s="24">
        <f t="shared" si="3"/>
        <v>1</v>
      </c>
      <c r="I7" s="77" t="s">
        <v>50</v>
      </c>
      <c r="J7" s="24">
        <f t="shared" si="4"/>
        <v>1</v>
      </c>
      <c r="K7" s="77" t="s">
        <v>52</v>
      </c>
      <c r="L7" s="24">
        <f t="shared" si="5"/>
        <v>1</v>
      </c>
      <c r="M7" s="77" t="s">
        <v>53</v>
      </c>
      <c r="N7" s="24">
        <f t="shared" si="6"/>
        <v>1</v>
      </c>
      <c r="O7" s="14">
        <f t="shared" si="7"/>
        <v>0</v>
      </c>
      <c r="P7" s="24">
        <v>1</v>
      </c>
      <c r="Q7" s="14">
        <f t="shared" si="8"/>
        <v>1</v>
      </c>
      <c r="R7" s="14">
        <f t="shared" si="9"/>
        <v>0</v>
      </c>
      <c r="S7" s="14">
        <f t="shared" si="10"/>
        <v>1</v>
      </c>
      <c r="T7" s="14">
        <f t="shared" si="11"/>
        <v>0</v>
      </c>
    </row>
    <row r="8" spans="1:21" x14ac:dyDescent="0.35">
      <c r="A8" s="14">
        <v>5</v>
      </c>
      <c r="B8" s="24">
        <v>1</v>
      </c>
      <c r="C8" s="24">
        <f t="shared" si="0"/>
        <v>1</v>
      </c>
      <c r="D8" s="24">
        <f t="shared" si="1"/>
        <v>0</v>
      </c>
      <c r="E8" s="24" t="s">
        <v>59</v>
      </c>
      <c r="F8" s="24" cm="1">
        <f t="array" ref="F8">_xlfn.IFS(E8="18 - 24", 1, E8="25 - 34", 2, E8="35 - 44", 3, E8="45 - 54", 4)</f>
        <v>1</v>
      </c>
      <c r="G8" s="24">
        <f t="shared" si="2"/>
        <v>1</v>
      </c>
      <c r="H8" s="24">
        <f t="shared" si="3"/>
        <v>0</v>
      </c>
      <c r="I8" s="77" t="s">
        <v>50</v>
      </c>
      <c r="J8" s="24">
        <f t="shared" si="4"/>
        <v>1</v>
      </c>
      <c r="K8" s="77" t="s">
        <v>52</v>
      </c>
      <c r="L8" s="24">
        <f t="shared" si="5"/>
        <v>1</v>
      </c>
      <c r="M8" s="77" t="s">
        <v>53</v>
      </c>
      <c r="N8" s="24">
        <f t="shared" si="6"/>
        <v>1</v>
      </c>
      <c r="O8" s="14">
        <f t="shared" si="7"/>
        <v>0</v>
      </c>
      <c r="P8" s="24">
        <v>1</v>
      </c>
      <c r="Q8" s="14">
        <f t="shared" si="8"/>
        <v>1</v>
      </c>
      <c r="R8" s="14">
        <f t="shared" si="9"/>
        <v>0</v>
      </c>
      <c r="S8" s="14">
        <f t="shared" si="10"/>
        <v>1</v>
      </c>
      <c r="T8" s="14">
        <f t="shared" si="11"/>
        <v>1</v>
      </c>
    </row>
    <row r="9" spans="1:21" ht="29" x14ac:dyDescent="0.35">
      <c r="A9" s="14">
        <v>6</v>
      </c>
      <c r="B9" s="24">
        <v>2</v>
      </c>
      <c r="C9" s="24">
        <f t="shared" si="0"/>
        <v>1</v>
      </c>
      <c r="D9" s="24">
        <f t="shared" si="1"/>
        <v>0</v>
      </c>
      <c r="E9" s="24" t="s">
        <v>59</v>
      </c>
      <c r="F9" s="24" cm="1">
        <f t="array" ref="F9">_xlfn.IFS(E9="18 - 24", 1, E9="25 - 34", 2, E9="35 - 44", 3, E9="45 - 54", 4)</f>
        <v>1</v>
      </c>
      <c r="G9" s="24">
        <f t="shared" si="2"/>
        <v>1</v>
      </c>
      <c r="H9" s="24">
        <f t="shared" si="3"/>
        <v>0</v>
      </c>
      <c r="I9" s="77" t="s">
        <v>50</v>
      </c>
      <c r="J9" s="24">
        <f t="shared" si="4"/>
        <v>1</v>
      </c>
      <c r="K9" s="77" t="s">
        <v>67</v>
      </c>
      <c r="L9" s="24">
        <f t="shared" si="5"/>
        <v>0</v>
      </c>
      <c r="M9" s="77" t="s">
        <v>53</v>
      </c>
      <c r="N9" s="24">
        <f t="shared" si="6"/>
        <v>1</v>
      </c>
      <c r="O9" s="14">
        <f t="shared" si="7"/>
        <v>0</v>
      </c>
      <c r="P9" s="24">
        <v>1</v>
      </c>
      <c r="Q9" s="14">
        <f t="shared" si="8"/>
        <v>1</v>
      </c>
      <c r="R9" s="14">
        <f t="shared" si="9"/>
        <v>0</v>
      </c>
      <c r="S9" s="14">
        <f t="shared" si="10"/>
        <v>1</v>
      </c>
      <c r="T9" s="14">
        <f t="shared" si="11"/>
        <v>1</v>
      </c>
    </row>
    <row r="10" spans="1:21" ht="29" x14ac:dyDescent="0.35">
      <c r="A10" s="14">
        <v>7</v>
      </c>
      <c r="B10" s="24">
        <v>1</v>
      </c>
      <c r="C10" s="24">
        <f t="shared" si="0"/>
        <v>1</v>
      </c>
      <c r="D10" s="24">
        <f t="shared" si="1"/>
        <v>0</v>
      </c>
      <c r="E10" s="24" t="s">
        <v>80</v>
      </c>
      <c r="F10" s="24" cm="1">
        <f t="array" ref="F10">_xlfn.IFS(E10="18 - 24", 1, E10="25 - 34", 2, E10="35 - 44", 3, E10="45 - 54", 4)</f>
        <v>3</v>
      </c>
      <c r="G10" s="24">
        <f t="shared" si="2"/>
        <v>0</v>
      </c>
      <c r="H10" s="24">
        <f t="shared" si="3"/>
        <v>0</v>
      </c>
      <c r="I10" s="77" t="s">
        <v>81</v>
      </c>
      <c r="J10" s="24">
        <f t="shared" si="4"/>
        <v>0</v>
      </c>
      <c r="K10" s="77" t="s">
        <v>67</v>
      </c>
      <c r="L10" s="24">
        <f t="shared" si="5"/>
        <v>0</v>
      </c>
      <c r="M10" s="77" t="s">
        <v>53</v>
      </c>
      <c r="N10" s="24">
        <f t="shared" si="6"/>
        <v>1</v>
      </c>
      <c r="O10" s="14">
        <f t="shared" si="7"/>
        <v>0</v>
      </c>
      <c r="P10" s="24">
        <v>1</v>
      </c>
      <c r="Q10" s="14">
        <f t="shared" si="8"/>
        <v>1</v>
      </c>
      <c r="R10" s="14">
        <f t="shared" si="9"/>
        <v>0</v>
      </c>
      <c r="S10" s="14">
        <f t="shared" si="10"/>
        <v>1</v>
      </c>
      <c r="T10" s="14">
        <f t="shared" si="11"/>
        <v>0</v>
      </c>
    </row>
    <row r="11" spans="1:21" x14ac:dyDescent="0.35">
      <c r="A11" s="14">
        <v>8</v>
      </c>
      <c r="B11" s="24">
        <v>1</v>
      </c>
      <c r="C11" s="24">
        <f t="shared" si="0"/>
        <v>1</v>
      </c>
      <c r="D11" s="24">
        <f t="shared" si="1"/>
        <v>0</v>
      </c>
      <c r="E11" s="24" t="s">
        <v>49</v>
      </c>
      <c r="F11" s="24" cm="1">
        <f t="array" ref="F11">_xlfn.IFS(E11="18 - 24", 1, E11="25 - 34", 2, E11="35 - 44", 3, E11="45 - 54", 4)</f>
        <v>2</v>
      </c>
      <c r="G11" s="24">
        <f t="shared" si="2"/>
        <v>0</v>
      </c>
      <c r="H11" s="24">
        <f t="shared" si="3"/>
        <v>1</v>
      </c>
      <c r="I11" s="77" t="s">
        <v>50</v>
      </c>
      <c r="J11" s="24">
        <f t="shared" si="4"/>
        <v>1</v>
      </c>
      <c r="K11" s="77" t="s">
        <v>52</v>
      </c>
      <c r="L11" s="24">
        <f t="shared" si="5"/>
        <v>1</v>
      </c>
      <c r="M11" s="77" t="s">
        <v>53</v>
      </c>
      <c r="N11" s="24">
        <f t="shared" si="6"/>
        <v>1</v>
      </c>
      <c r="O11" s="14">
        <f t="shared" si="7"/>
        <v>0</v>
      </c>
      <c r="P11" s="24">
        <v>1</v>
      </c>
      <c r="Q11" s="14">
        <f t="shared" si="8"/>
        <v>1</v>
      </c>
      <c r="R11" s="14">
        <f t="shared" si="9"/>
        <v>0</v>
      </c>
      <c r="S11" s="14">
        <f t="shared" si="10"/>
        <v>1</v>
      </c>
      <c r="T11" s="14">
        <f t="shared" si="11"/>
        <v>0</v>
      </c>
    </row>
    <row r="12" spans="1:21" x14ac:dyDescent="0.35">
      <c r="A12" s="14">
        <v>9</v>
      </c>
      <c r="B12" s="24">
        <v>3</v>
      </c>
      <c r="C12" s="24">
        <f t="shared" si="0"/>
        <v>0</v>
      </c>
      <c r="D12" s="24">
        <f t="shared" si="1"/>
        <v>1</v>
      </c>
      <c r="E12" s="24" t="s">
        <v>49</v>
      </c>
      <c r="F12" s="24" cm="1">
        <f t="array" ref="F12">_xlfn.IFS(E12="18 - 24", 1, E12="25 - 34", 2, E12="35 - 44", 3, E12="45 - 54", 4)</f>
        <v>2</v>
      </c>
      <c r="G12" s="24">
        <f t="shared" si="2"/>
        <v>0</v>
      </c>
      <c r="H12" s="24">
        <f t="shared" si="3"/>
        <v>1</v>
      </c>
      <c r="I12" s="77" t="s">
        <v>50</v>
      </c>
      <c r="J12" s="24">
        <f t="shared" si="4"/>
        <v>1</v>
      </c>
      <c r="K12" s="77" t="s">
        <v>52</v>
      </c>
      <c r="L12" s="24">
        <f t="shared" si="5"/>
        <v>1</v>
      </c>
      <c r="M12" s="77" t="s">
        <v>53</v>
      </c>
      <c r="N12" s="24">
        <f t="shared" si="6"/>
        <v>1</v>
      </c>
      <c r="O12" s="14">
        <f t="shared" si="7"/>
        <v>0</v>
      </c>
      <c r="P12" s="24">
        <v>2</v>
      </c>
      <c r="Q12" s="14">
        <f t="shared" si="8"/>
        <v>0</v>
      </c>
      <c r="R12" s="14">
        <f t="shared" si="9"/>
        <v>0</v>
      </c>
      <c r="S12" s="14">
        <f t="shared" si="10"/>
        <v>0</v>
      </c>
      <c r="T12" s="14">
        <f t="shared" si="11"/>
        <v>0</v>
      </c>
    </row>
    <row r="13" spans="1:21" x14ac:dyDescent="0.35">
      <c r="A13" s="14">
        <v>10</v>
      </c>
      <c r="B13" s="24">
        <v>1</v>
      </c>
      <c r="C13" s="24">
        <f t="shared" si="0"/>
        <v>1</v>
      </c>
      <c r="D13" s="24">
        <f t="shared" si="1"/>
        <v>0</v>
      </c>
      <c r="E13" s="24" t="s">
        <v>49</v>
      </c>
      <c r="F13" s="24" cm="1">
        <f t="array" ref="F13">_xlfn.IFS(E13="18 - 24", 1, E13="25 - 34", 2, E13="35 - 44", 3, E13="45 - 54", 4)</f>
        <v>2</v>
      </c>
      <c r="G13" s="24">
        <f t="shared" si="2"/>
        <v>0</v>
      </c>
      <c r="H13" s="24">
        <f t="shared" si="3"/>
        <v>1</v>
      </c>
      <c r="I13" s="77" t="s">
        <v>50</v>
      </c>
      <c r="J13" s="24">
        <f t="shared" si="4"/>
        <v>1</v>
      </c>
      <c r="K13" s="77" t="s">
        <v>52</v>
      </c>
      <c r="L13" s="24">
        <f t="shared" si="5"/>
        <v>1</v>
      </c>
      <c r="M13" s="77" t="s">
        <v>84</v>
      </c>
      <c r="N13" s="24">
        <f t="shared" si="6"/>
        <v>0</v>
      </c>
      <c r="O13" s="14">
        <f t="shared" si="7"/>
        <v>0</v>
      </c>
      <c r="P13" s="24">
        <v>1</v>
      </c>
      <c r="Q13" s="14">
        <f t="shared" si="8"/>
        <v>1</v>
      </c>
      <c r="R13" s="14">
        <f t="shared" si="9"/>
        <v>0</v>
      </c>
      <c r="S13" s="14">
        <f t="shared" si="10"/>
        <v>1</v>
      </c>
      <c r="T13" s="14">
        <f t="shared" si="11"/>
        <v>0</v>
      </c>
    </row>
    <row r="14" spans="1:21" x14ac:dyDescent="0.35">
      <c r="A14" s="14">
        <v>11</v>
      </c>
      <c r="B14" s="24">
        <v>2</v>
      </c>
      <c r="C14" s="24">
        <f t="shared" si="0"/>
        <v>1</v>
      </c>
      <c r="D14" s="24">
        <f t="shared" si="1"/>
        <v>0</v>
      </c>
      <c r="E14" s="24" t="s">
        <v>59</v>
      </c>
      <c r="F14" s="24" cm="1">
        <f t="array" ref="F14">_xlfn.IFS(E14="18 - 24", 1, E14="25 - 34", 2, E14="35 - 44", 3, E14="45 - 54", 4)</f>
        <v>1</v>
      </c>
      <c r="G14" s="24">
        <f t="shared" si="2"/>
        <v>1</v>
      </c>
      <c r="H14" s="24">
        <f t="shared" si="3"/>
        <v>0</v>
      </c>
      <c r="I14" s="77" t="s">
        <v>50</v>
      </c>
      <c r="J14" s="24">
        <f t="shared" si="4"/>
        <v>1</v>
      </c>
      <c r="K14" s="77" t="s">
        <v>52</v>
      </c>
      <c r="L14" s="24">
        <f t="shared" si="5"/>
        <v>1</v>
      </c>
      <c r="M14" s="77" t="s">
        <v>53</v>
      </c>
      <c r="N14" s="24">
        <f t="shared" si="6"/>
        <v>1</v>
      </c>
      <c r="O14" s="14">
        <f t="shared" si="7"/>
        <v>0</v>
      </c>
      <c r="P14" s="24">
        <v>1</v>
      </c>
      <c r="Q14" s="14">
        <f t="shared" si="8"/>
        <v>1</v>
      </c>
      <c r="R14" s="14">
        <f t="shared" si="9"/>
        <v>0</v>
      </c>
      <c r="S14" s="14">
        <f t="shared" si="10"/>
        <v>1</v>
      </c>
      <c r="T14" s="14">
        <f t="shared" si="11"/>
        <v>1</v>
      </c>
    </row>
    <row r="15" spans="1:21" x14ac:dyDescent="0.35">
      <c r="A15" s="14">
        <v>12</v>
      </c>
      <c r="B15" s="24">
        <v>4</v>
      </c>
      <c r="C15" s="24">
        <f t="shared" si="0"/>
        <v>0</v>
      </c>
      <c r="D15" s="24">
        <f t="shared" si="1"/>
        <v>1</v>
      </c>
      <c r="E15" s="24" t="s">
        <v>49</v>
      </c>
      <c r="F15" s="24" cm="1">
        <f t="array" ref="F15">_xlfn.IFS(E15="18 - 24", 1, E15="25 - 34", 2, E15="35 - 44", 3, E15="45 - 54", 4)</f>
        <v>2</v>
      </c>
      <c r="G15" s="24">
        <f t="shared" si="2"/>
        <v>0</v>
      </c>
      <c r="H15" s="24">
        <f t="shared" si="3"/>
        <v>1</v>
      </c>
      <c r="I15" s="77" t="s">
        <v>50</v>
      </c>
      <c r="J15" s="24">
        <f t="shared" si="4"/>
        <v>1</v>
      </c>
      <c r="K15" s="77" t="s">
        <v>52</v>
      </c>
      <c r="L15" s="24">
        <f t="shared" si="5"/>
        <v>1</v>
      </c>
      <c r="M15" s="77" t="s">
        <v>60</v>
      </c>
      <c r="N15" s="24">
        <f t="shared" si="6"/>
        <v>1</v>
      </c>
      <c r="O15" s="14">
        <f t="shared" si="7"/>
        <v>0</v>
      </c>
      <c r="P15" s="24">
        <v>3</v>
      </c>
      <c r="Q15" s="14">
        <f t="shared" si="8"/>
        <v>0</v>
      </c>
      <c r="R15" s="14">
        <f t="shared" si="9"/>
        <v>1</v>
      </c>
      <c r="S15" s="14">
        <f t="shared" si="10"/>
        <v>0</v>
      </c>
      <c r="T15" s="14">
        <f t="shared" si="11"/>
        <v>0</v>
      </c>
    </row>
    <row r="16" spans="1:21" x14ac:dyDescent="0.35">
      <c r="A16" s="14">
        <v>13</v>
      </c>
      <c r="B16" s="24">
        <v>4</v>
      </c>
      <c r="C16" s="24">
        <f t="shared" si="0"/>
        <v>0</v>
      </c>
      <c r="D16" s="24">
        <f t="shared" si="1"/>
        <v>1</v>
      </c>
      <c r="E16" s="24" t="s">
        <v>59</v>
      </c>
      <c r="F16" s="24" cm="1">
        <f t="array" ref="F16">_xlfn.IFS(E16="18 - 24", 1, E16="25 - 34", 2, E16="35 - 44", 3, E16="45 - 54", 4)</f>
        <v>1</v>
      </c>
      <c r="G16" s="24">
        <f t="shared" si="2"/>
        <v>1</v>
      </c>
      <c r="H16" s="24">
        <f t="shared" si="3"/>
        <v>0</v>
      </c>
      <c r="I16" s="77" t="s">
        <v>50</v>
      </c>
      <c r="J16" s="24">
        <f t="shared" si="4"/>
        <v>1</v>
      </c>
      <c r="K16" s="77" t="s">
        <v>52</v>
      </c>
      <c r="L16" s="24">
        <f t="shared" si="5"/>
        <v>1</v>
      </c>
      <c r="M16" s="77" t="s">
        <v>60</v>
      </c>
      <c r="N16" s="24">
        <f t="shared" si="6"/>
        <v>1</v>
      </c>
      <c r="O16" s="14">
        <f t="shared" si="7"/>
        <v>0</v>
      </c>
      <c r="P16" s="24">
        <v>3</v>
      </c>
      <c r="Q16" s="14">
        <f t="shared" si="8"/>
        <v>0</v>
      </c>
      <c r="R16" s="14">
        <f t="shared" si="9"/>
        <v>1</v>
      </c>
      <c r="S16" s="14">
        <f t="shared" si="10"/>
        <v>0</v>
      </c>
      <c r="T16" s="14">
        <f t="shared" si="11"/>
        <v>1</v>
      </c>
    </row>
    <row r="17" spans="1:20" x14ac:dyDescent="0.35">
      <c r="A17" s="14">
        <v>14</v>
      </c>
      <c r="B17" s="24">
        <v>3</v>
      </c>
      <c r="C17" s="24">
        <f t="shared" si="0"/>
        <v>0</v>
      </c>
      <c r="D17" s="24">
        <f t="shared" si="1"/>
        <v>1</v>
      </c>
      <c r="E17" s="24" t="s">
        <v>49</v>
      </c>
      <c r="F17" s="24" cm="1">
        <f t="array" ref="F17">_xlfn.IFS(E17="18 - 24", 1, E17="25 - 34", 2, E17="35 - 44", 3, E17="45 - 54", 4)</f>
        <v>2</v>
      </c>
      <c r="G17" s="24">
        <f t="shared" si="2"/>
        <v>0</v>
      </c>
      <c r="H17" s="24">
        <f t="shared" si="3"/>
        <v>1</v>
      </c>
      <c r="I17" s="77" t="s">
        <v>50</v>
      </c>
      <c r="J17" s="24">
        <f t="shared" si="4"/>
        <v>1</v>
      </c>
      <c r="K17" s="77" t="s">
        <v>52</v>
      </c>
      <c r="L17" s="24">
        <f t="shared" si="5"/>
        <v>1</v>
      </c>
      <c r="M17" s="77" t="s">
        <v>53</v>
      </c>
      <c r="N17" s="24">
        <f t="shared" si="6"/>
        <v>1</v>
      </c>
      <c r="O17" s="14">
        <f t="shared" si="7"/>
        <v>0</v>
      </c>
      <c r="P17" s="24">
        <v>2</v>
      </c>
      <c r="Q17" s="14">
        <f t="shared" si="8"/>
        <v>0</v>
      </c>
      <c r="R17" s="14">
        <f t="shared" si="9"/>
        <v>0</v>
      </c>
      <c r="S17" s="14">
        <f t="shared" si="10"/>
        <v>0</v>
      </c>
      <c r="T17" s="14">
        <f t="shared" si="11"/>
        <v>0</v>
      </c>
    </row>
    <row r="18" spans="1:20" x14ac:dyDescent="0.35">
      <c r="A18" s="14">
        <v>15</v>
      </c>
      <c r="B18" s="24">
        <v>3</v>
      </c>
      <c r="C18" s="24">
        <f t="shared" si="0"/>
        <v>0</v>
      </c>
      <c r="D18" s="24">
        <f t="shared" si="1"/>
        <v>1</v>
      </c>
      <c r="E18" s="24" t="s">
        <v>59</v>
      </c>
      <c r="F18" s="24" cm="1">
        <f t="array" ref="F18">_xlfn.IFS(E18="18 - 24", 1, E18="25 - 34", 2, E18="35 - 44", 3, E18="45 - 54", 4)</f>
        <v>1</v>
      </c>
      <c r="G18" s="24">
        <f t="shared" si="2"/>
        <v>1</v>
      </c>
      <c r="H18" s="24">
        <f t="shared" si="3"/>
        <v>0</v>
      </c>
      <c r="I18" s="77" t="s">
        <v>50</v>
      </c>
      <c r="J18" s="24">
        <f t="shared" si="4"/>
        <v>1</v>
      </c>
      <c r="K18" s="77" t="s">
        <v>52</v>
      </c>
      <c r="L18" s="24">
        <f t="shared" si="5"/>
        <v>1</v>
      </c>
      <c r="M18" s="77" t="s">
        <v>60</v>
      </c>
      <c r="N18" s="24">
        <f t="shared" si="6"/>
        <v>1</v>
      </c>
      <c r="O18" s="14">
        <f t="shared" si="7"/>
        <v>0</v>
      </c>
      <c r="P18" s="24">
        <v>3</v>
      </c>
      <c r="Q18" s="14">
        <f t="shared" si="8"/>
        <v>0</v>
      </c>
      <c r="R18" s="14">
        <f t="shared" si="9"/>
        <v>1</v>
      </c>
      <c r="S18" s="14">
        <f t="shared" si="10"/>
        <v>0</v>
      </c>
      <c r="T18" s="14">
        <f t="shared" si="11"/>
        <v>1</v>
      </c>
    </row>
    <row r="19" spans="1:20" x14ac:dyDescent="0.35">
      <c r="A19" s="14">
        <v>16</v>
      </c>
      <c r="B19" s="24">
        <v>2</v>
      </c>
      <c r="C19" s="24">
        <f t="shared" si="0"/>
        <v>1</v>
      </c>
      <c r="D19" s="24">
        <f t="shared" si="1"/>
        <v>0</v>
      </c>
      <c r="E19" s="24" t="s">
        <v>49</v>
      </c>
      <c r="F19" s="24" cm="1">
        <f t="array" ref="F19">_xlfn.IFS(E19="18 - 24", 1, E19="25 - 34", 2, E19="35 - 44", 3, E19="45 - 54", 4)</f>
        <v>2</v>
      </c>
      <c r="G19" s="24">
        <f t="shared" si="2"/>
        <v>0</v>
      </c>
      <c r="H19" s="24">
        <f t="shared" si="3"/>
        <v>1</v>
      </c>
      <c r="I19" s="77" t="s">
        <v>50</v>
      </c>
      <c r="J19" s="24">
        <f t="shared" si="4"/>
        <v>1</v>
      </c>
      <c r="K19" s="77" t="s">
        <v>52</v>
      </c>
      <c r="L19" s="24">
        <f t="shared" si="5"/>
        <v>1</v>
      </c>
      <c r="M19" s="77" t="s">
        <v>60</v>
      </c>
      <c r="N19" s="24">
        <f t="shared" si="6"/>
        <v>1</v>
      </c>
      <c r="O19" s="14">
        <f t="shared" si="7"/>
        <v>0</v>
      </c>
      <c r="P19" s="24">
        <v>2</v>
      </c>
      <c r="Q19" s="14">
        <f t="shared" si="8"/>
        <v>0</v>
      </c>
      <c r="R19" s="14">
        <f t="shared" si="9"/>
        <v>0</v>
      </c>
      <c r="S19" s="14">
        <f t="shared" si="10"/>
        <v>0</v>
      </c>
      <c r="T19" s="14">
        <f t="shared" si="11"/>
        <v>0</v>
      </c>
    </row>
    <row r="20" spans="1:20" x14ac:dyDescent="0.35">
      <c r="A20" s="14">
        <v>17</v>
      </c>
      <c r="B20" s="24">
        <v>4</v>
      </c>
      <c r="C20" s="24">
        <f t="shared" si="0"/>
        <v>0</v>
      </c>
      <c r="D20" s="24">
        <f t="shared" si="1"/>
        <v>1</v>
      </c>
      <c r="E20" s="24" t="s">
        <v>59</v>
      </c>
      <c r="F20" s="24" cm="1">
        <f t="array" ref="F20">_xlfn.IFS(E20="18 - 24", 1, E20="25 - 34", 2, E20="35 - 44", 3, E20="45 - 54", 4)</f>
        <v>1</v>
      </c>
      <c r="G20" s="24">
        <f t="shared" si="2"/>
        <v>1</v>
      </c>
      <c r="H20" s="24">
        <f t="shared" si="3"/>
        <v>0</v>
      </c>
      <c r="I20" s="77" t="s">
        <v>50</v>
      </c>
      <c r="J20" s="24">
        <f t="shared" si="4"/>
        <v>1</v>
      </c>
      <c r="K20" s="77" t="s">
        <v>52</v>
      </c>
      <c r="L20" s="24">
        <f t="shared" si="5"/>
        <v>1</v>
      </c>
      <c r="M20" s="77" t="s">
        <v>53</v>
      </c>
      <c r="N20" s="24">
        <f t="shared" si="6"/>
        <v>1</v>
      </c>
      <c r="O20" s="14">
        <f t="shared" si="7"/>
        <v>0</v>
      </c>
      <c r="P20" s="24">
        <v>2</v>
      </c>
      <c r="Q20" s="14">
        <f t="shared" si="8"/>
        <v>0</v>
      </c>
      <c r="R20" s="14">
        <f t="shared" si="9"/>
        <v>0</v>
      </c>
      <c r="S20" s="14">
        <f t="shared" si="10"/>
        <v>0</v>
      </c>
      <c r="T20" s="14">
        <f t="shared" si="11"/>
        <v>1</v>
      </c>
    </row>
    <row r="21" spans="1:20" x14ac:dyDescent="0.35">
      <c r="A21" s="14">
        <v>18</v>
      </c>
      <c r="B21" s="24">
        <v>3</v>
      </c>
      <c r="C21" s="24">
        <f t="shared" si="0"/>
        <v>0</v>
      </c>
      <c r="D21" s="24">
        <f t="shared" si="1"/>
        <v>1</v>
      </c>
      <c r="E21" s="24" t="s">
        <v>49</v>
      </c>
      <c r="F21" s="24" cm="1">
        <f t="array" ref="F21">_xlfn.IFS(E21="18 - 24", 1, E21="25 - 34", 2, E21="35 - 44", 3, E21="45 - 54", 4)</f>
        <v>2</v>
      </c>
      <c r="G21" s="24">
        <f t="shared" si="2"/>
        <v>0</v>
      </c>
      <c r="H21" s="24">
        <f t="shared" si="3"/>
        <v>1</v>
      </c>
      <c r="I21" s="77" t="s">
        <v>50</v>
      </c>
      <c r="J21" s="24">
        <f t="shared" si="4"/>
        <v>1</v>
      </c>
      <c r="K21" s="77" t="s">
        <v>52</v>
      </c>
      <c r="L21" s="24">
        <f t="shared" si="5"/>
        <v>1</v>
      </c>
      <c r="M21" s="77" t="s">
        <v>53</v>
      </c>
      <c r="N21" s="24">
        <f t="shared" si="6"/>
        <v>1</v>
      </c>
      <c r="O21" s="14">
        <f t="shared" si="7"/>
        <v>0</v>
      </c>
      <c r="P21" s="24">
        <v>1</v>
      </c>
      <c r="Q21" s="14">
        <f t="shared" si="8"/>
        <v>1</v>
      </c>
      <c r="R21" s="14">
        <f t="shared" si="9"/>
        <v>0</v>
      </c>
      <c r="S21" s="14">
        <f t="shared" si="10"/>
        <v>0</v>
      </c>
      <c r="T21" s="14">
        <f t="shared" si="11"/>
        <v>0</v>
      </c>
    </row>
    <row r="22" spans="1:20" x14ac:dyDescent="0.35">
      <c r="A22" s="14">
        <v>19</v>
      </c>
      <c r="B22" s="24">
        <v>3</v>
      </c>
      <c r="C22" s="24">
        <f t="shared" si="0"/>
        <v>0</v>
      </c>
      <c r="D22" s="24">
        <f t="shared" si="1"/>
        <v>1</v>
      </c>
      <c r="E22" s="24" t="s">
        <v>59</v>
      </c>
      <c r="F22" s="24" cm="1">
        <f t="array" ref="F22">_xlfn.IFS(E22="18 - 24", 1, E22="25 - 34", 2, E22="35 - 44", 3, E22="45 - 54", 4)</f>
        <v>1</v>
      </c>
      <c r="G22" s="24">
        <f t="shared" si="2"/>
        <v>1</v>
      </c>
      <c r="H22" s="24">
        <f t="shared" si="3"/>
        <v>0</v>
      </c>
      <c r="I22" s="77" t="s">
        <v>50</v>
      </c>
      <c r="J22" s="24">
        <f t="shared" si="4"/>
        <v>1</v>
      </c>
      <c r="K22" s="77" t="s">
        <v>52</v>
      </c>
      <c r="L22" s="24">
        <f t="shared" si="5"/>
        <v>1</v>
      </c>
      <c r="M22" s="77" t="s">
        <v>53</v>
      </c>
      <c r="N22" s="24">
        <f t="shared" si="6"/>
        <v>1</v>
      </c>
      <c r="O22" s="14">
        <f t="shared" si="7"/>
        <v>0</v>
      </c>
      <c r="P22" s="24">
        <v>1</v>
      </c>
      <c r="Q22" s="14">
        <f t="shared" si="8"/>
        <v>1</v>
      </c>
      <c r="R22" s="14">
        <f t="shared" si="9"/>
        <v>0</v>
      </c>
      <c r="S22" s="14">
        <f t="shared" si="10"/>
        <v>0</v>
      </c>
      <c r="T22" s="14">
        <f t="shared" si="11"/>
        <v>1</v>
      </c>
    </row>
    <row r="23" spans="1:20" x14ac:dyDescent="0.35">
      <c r="A23" s="14">
        <v>20</v>
      </c>
      <c r="B23" s="24">
        <v>4</v>
      </c>
      <c r="C23" s="24">
        <f t="shared" si="0"/>
        <v>0</v>
      </c>
      <c r="D23" s="24">
        <f t="shared" si="1"/>
        <v>1</v>
      </c>
      <c r="E23" s="24" t="s">
        <v>59</v>
      </c>
      <c r="F23" s="24" cm="1">
        <f t="array" ref="F23">_xlfn.IFS(E23="18 - 24", 1, E23="25 - 34", 2, E23="35 - 44", 3, E23="45 - 54", 4)</f>
        <v>1</v>
      </c>
      <c r="G23" s="24">
        <f t="shared" si="2"/>
        <v>1</v>
      </c>
      <c r="H23" s="24">
        <f t="shared" si="3"/>
        <v>0</v>
      </c>
      <c r="I23" s="77" t="s">
        <v>50</v>
      </c>
      <c r="J23" s="24">
        <f t="shared" si="4"/>
        <v>1</v>
      </c>
      <c r="K23" s="77" t="s">
        <v>52</v>
      </c>
      <c r="L23" s="24">
        <f t="shared" si="5"/>
        <v>1</v>
      </c>
      <c r="M23" s="77" t="s">
        <v>60</v>
      </c>
      <c r="N23" s="24">
        <f t="shared" si="6"/>
        <v>1</v>
      </c>
      <c r="O23" s="14">
        <f t="shared" si="7"/>
        <v>0</v>
      </c>
      <c r="P23" s="24">
        <v>2</v>
      </c>
      <c r="Q23" s="14">
        <f t="shared" si="8"/>
        <v>0</v>
      </c>
      <c r="R23" s="14">
        <f t="shared" si="9"/>
        <v>0</v>
      </c>
      <c r="S23" s="14">
        <f t="shared" si="10"/>
        <v>0</v>
      </c>
      <c r="T23" s="14">
        <f t="shared" si="11"/>
        <v>1</v>
      </c>
    </row>
    <row r="24" spans="1:20" x14ac:dyDescent="0.35">
      <c r="A24" s="14">
        <v>21</v>
      </c>
      <c r="B24" s="24">
        <v>2</v>
      </c>
      <c r="C24" s="24">
        <f t="shared" si="0"/>
        <v>1</v>
      </c>
      <c r="D24" s="24">
        <f t="shared" si="1"/>
        <v>0</v>
      </c>
      <c r="E24" s="24" t="s">
        <v>49</v>
      </c>
      <c r="F24" s="24" cm="1">
        <f t="array" ref="F24">_xlfn.IFS(E24="18 - 24", 1, E24="25 - 34", 2, E24="35 - 44", 3, E24="45 - 54", 4)</f>
        <v>2</v>
      </c>
      <c r="G24" s="24">
        <f t="shared" si="2"/>
        <v>0</v>
      </c>
      <c r="H24" s="24">
        <f t="shared" si="3"/>
        <v>1</v>
      </c>
      <c r="I24" s="77" t="s">
        <v>50</v>
      </c>
      <c r="J24" s="24">
        <f t="shared" si="4"/>
        <v>1</v>
      </c>
      <c r="K24" s="77" t="s">
        <v>52</v>
      </c>
      <c r="L24" s="24">
        <f t="shared" si="5"/>
        <v>1</v>
      </c>
      <c r="M24" s="77" t="s">
        <v>60</v>
      </c>
      <c r="N24" s="24">
        <f t="shared" si="6"/>
        <v>1</v>
      </c>
      <c r="O24" s="14">
        <f t="shared" si="7"/>
        <v>0</v>
      </c>
      <c r="P24" s="24">
        <v>2</v>
      </c>
      <c r="Q24" s="14">
        <f t="shared" si="8"/>
        <v>0</v>
      </c>
      <c r="R24" s="14">
        <f t="shared" si="9"/>
        <v>0</v>
      </c>
      <c r="S24" s="14">
        <f t="shared" si="10"/>
        <v>0</v>
      </c>
      <c r="T24" s="14">
        <f t="shared" si="11"/>
        <v>0</v>
      </c>
    </row>
    <row r="25" spans="1:20" x14ac:dyDescent="0.35">
      <c r="A25" s="14">
        <v>22</v>
      </c>
      <c r="B25" s="24">
        <v>1</v>
      </c>
      <c r="C25" s="24">
        <f t="shared" si="0"/>
        <v>1</v>
      </c>
      <c r="D25" s="24">
        <f t="shared" si="1"/>
        <v>0</v>
      </c>
      <c r="E25" s="24" t="s">
        <v>59</v>
      </c>
      <c r="F25" s="24" cm="1">
        <f t="array" ref="F25">_xlfn.IFS(E25="18 - 24", 1, E25="25 - 34", 2, E25="35 - 44", 3, E25="45 - 54", 4)</f>
        <v>1</v>
      </c>
      <c r="G25" s="24">
        <f t="shared" si="2"/>
        <v>1</v>
      </c>
      <c r="H25" s="24">
        <f t="shared" si="3"/>
        <v>0</v>
      </c>
      <c r="I25" s="77" t="s">
        <v>50</v>
      </c>
      <c r="J25" s="24">
        <f t="shared" si="4"/>
        <v>1</v>
      </c>
      <c r="K25" s="77" t="s">
        <v>52</v>
      </c>
      <c r="L25" s="24">
        <f t="shared" si="5"/>
        <v>1</v>
      </c>
      <c r="M25" s="77" t="s">
        <v>53</v>
      </c>
      <c r="N25" s="24">
        <f t="shared" si="6"/>
        <v>1</v>
      </c>
      <c r="O25" s="14">
        <f t="shared" si="7"/>
        <v>0</v>
      </c>
      <c r="P25" s="24">
        <v>3</v>
      </c>
      <c r="Q25" s="14">
        <f t="shared" si="8"/>
        <v>0</v>
      </c>
      <c r="R25" s="14">
        <f t="shared" si="9"/>
        <v>1</v>
      </c>
      <c r="S25" s="14">
        <f t="shared" si="10"/>
        <v>0</v>
      </c>
      <c r="T25" s="14">
        <f t="shared" si="11"/>
        <v>1</v>
      </c>
    </row>
    <row r="26" spans="1:20" ht="29" x14ac:dyDescent="0.35">
      <c r="A26" s="14">
        <v>23</v>
      </c>
      <c r="B26" s="24">
        <v>1</v>
      </c>
      <c r="C26" s="24">
        <f t="shared" si="0"/>
        <v>1</v>
      </c>
      <c r="D26" s="24">
        <f t="shared" si="1"/>
        <v>0</v>
      </c>
      <c r="E26" s="24" t="s">
        <v>49</v>
      </c>
      <c r="F26" s="24" cm="1">
        <f t="array" ref="F26">_xlfn.IFS(E26="18 - 24", 1, E26="25 - 34", 2, E26="35 - 44", 3, E26="45 - 54", 4)</f>
        <v>2</v>
      </c>
      <c r="G26" s="24">
        <f t="shared" si="2"/>
        <v>0</v>
      </c>
      <c r="H26" s="24">
        <f t="shared" si="3"/>
        <v>1</v>
      </c>
      <c r="I26" s="77" t="s">
        <v>50</v>
      </c>
      <c r="J26" s="24">
        <f t="shared" si="4"/>
        <v>1</v>
      </c>
      <c r="K26" s="77" t="s">
        <v>67</v>
      </c>
      <c r="L26" s="24">
        <f t="shared" si="5"/>
        <v>0</v>
      </c>
      <c r="M26" s="77" t="s">
        <v>53</v>
      </c>
      <c r="N26" s="24">
        <f t="shared" si="6"/>
        <v>1</v>
      </c>
      <c r="O26" s="14">
        <f t="shared" si="7"/>
        <v>0</v>
      </c>
      <c r="P26" s="24">
        <v>1</v>
      </c>
      <c r="Q26" s="14">
        <f t="shared" si="8"/>
        <v>1</v>
      </c>
      <c r="R26" s="14">
        <f t="shared" si="9"/>
        <v>0</v>
      </c>
      <c r="S26" s="14">
        <f t="shared" si="10"/>
        <v>1</v>
      </c>
      <c r="T26" s="14">
        <f t="shared" si="11"/>
        <v>0</v>
      </c>
    </row>
    <row r="27" spans="1:20" ht="29" x14ac:dyDescent="0.35">
      <c r="A27" s="14">
        <v>24</v>
      </c>
      <c r="B27" s="24">
        <v>1</v>
      </c>
      <c r="C27" s="24">
        <f t="shared" si="0"/>
        <v>1</v>
      </c>
      <c r="D27" s="24">
        <f t="shared" si="1"/>
        <v>0</v>
      </c>
      <c r="E27" s="24" t="s">
        <v>80</v>
      </c>
      <c r="F27" s="24" cm="1">
        <f t="array" ref="F27">_xlfn.IFS(E27="18 - 24", 1, E27="25 - 34", 2, E27="35 - 44", 3, E27="45 - 54", 4)</f>
        <v>3</v>
      </c>
      <c r="G27" s="24">
        <f t="shared" si="2"/>
        <v>0</v>
      </c>
      <c r="H27" s="24">
        <f t="shared" si="3"/>
        <v>0</v>
      </c>
      <c r="I27" s="77" t="s">
        <v>50</v>
      </c>
      <c r="J27" s="24">
        <f t="shared" si="4"/>
        <v>1</v>
      </c>
      <c r="K27" s="77" t="s">
        <v>67</v>
      </c>
      <c r="L27" s="24">
        <f t="shared" si="5"/>
        <v>0</v>
      </c>
      <c r="M27" s="77" t="s">
        <v>53</v>
      </c>
      <c r="N27" s="24">
        <f t="shared" si="6"/>
        <v>1</v>
      </c>
      <c r="O27" s="14">
        <f t="shared" si="7"/>
        <v>0</v>
      </c>
      <c r="P27" s="24">
        <v>1</v>
      </c>
      <c r="Q27" s="14">
        <f t="shared" si="8"/>
        <v>1</v>
      </c>
      <c r="R27" s="14">
        <f t="shared" si="9"/>
        <v>0</v>
      </c>
      <c r="S27" s="14">
        <f t="shared" si="10"/>
        <v>1</v>
      </c>
      <c r="T27" s="14">
        <f t="shared" si="11"/>
        <v>0</v>
      </c>
    </row>
    <row r="28" spans="1:20" x14ac:dyDescent="0.35">
      <c r="A28" s="14">
        <v>25</v>
      </c>
      <c r="B28" s="24">
        <v>1</v>
      </c>
      <c r="C28" s="24">
        <f t="shared" si="0"/>
        <v>1</v>
      </c>
      <c r="D28" s="24">
        <f t="shared" si="1"/>
        <v>0</v>
      </c>
      <c r="E28" s="24" t="s">
        <v>59</v>
      </c>
      <c r="F28" s="24" cm="1">
        <f t="array" ref="F28">_xlfn.IFS(E28="18 - 24", 1, E28="25 - 34", 2, E28="35 - 44", 3, E28="45 - 54", 4)</f>
        <v>1</v>
      </c>
      <c r="G28" s="24">
        <f t="shared" si="2"/>
        <v>1</v>
      </c>
      <c r="H28" s="24">
        <f t="shared" si="3"/>
        <v>0</v>
      </c>
      <c r="I28" s="77" t="s">
        <v>50</v>
      </c>
      <c r="J28" s="24">
        <f t="shared" si="4"/>
        <v>1</v>
      </c>
      <c r="K28" s="77" t="s">
        <v>52</v>
      </c>
      <c r="L28" s="24">
        <f t="shared" si="5"/>
        <v>1</v>
      </c>
      <c r="M28" s="77" t="s">
        <v>53</v>
      </c>
      <c r="N28" s="24">
        <f t="shared" si="6"/>
        <v>1</v>
      </c>
      <c r="O28" s="14">
        <f t="shared" si="7"/>
        <v>0</v>
      </c>
      <c r="P28" s="24">
        <v>1</v>
      </c>
      <c r="Q28" s="14">
        <f t="shared" si="8"/>
        <v>1</v>
      </c>
      <c r="R28" s="14">
        <f t="shared" si="9"/>
        <v>0</v>
      </c>
      <c r="S28" s="14">
        <f t="shared" si="10"/>
        <v>1</v>
      </c>
      <c r="T28" s="14">
        <f t="shared" si="11"/>
        <v>1</v>
      </c>
    </row>
    <row r="29" spans="1:20" ht="29" x14ac:dyDescent="0.35">
      <c r="A29" s="14">
        <v>26</v>
      </c>
      <c r="B29" s="24">
        <v>3</v>
      </c>
      <c r="C29" s="24">
        <f t="shared" si="0"/>
        <v>0</v>
      </c>
      <c r="D29" s="24">
        <f t="shared" si="1"/>
        <v>1</v>
      </c>
      <c r="E29" s="24" t="s">
        <v>49</v>
      </c>
      <c r="F29" s="24" cm="1">
        <f t="array" ref="F29">_xlfn.IFS(E29="18 - 24", 1, E29="25 - 34", 2, E29="35 - 44", 3, E29="45 - 54", 4)</f>
        <v>2</v>
      </c>
      <c r="G29" s="24">
        <f t="shared" si="2"/>
        <v>0</v>
      </c>
      <c r="H29" s="24">
        <f t="shared" si="3"/>
        <v>1</v>
      </c>
      <c r="I29" s="77" t="s">
        <v>50</v>
      </c>
      <c r="J29" s="24">
        <f t="shared" si="4"/>
        <v>1</v>
      </c>
      <c r="K29" s="77" t="s">
        <v>67</v>
      </c>
      <c r="L29" s="24">
        <f t="shared" si="5"/>
        <v>0</v>
      </c>
      <c r="M29" s="77" t="s">
        <v>60</v>
      </c>
      <c r="N29" s="24">
        <f t="shared" si="6"/>
        <v>1</v>
      </c>
      <c r="O29" s="14">
        <f t="shared" si="7"/>
        <v>0</v>
      </c>
      <c r="P29" s="24">
        <v>2</v>
      </c>
      <c r="Q29" s="14">
        <f t="shared" si="8"/>
        <v>0</v>
      </c>
      <c r="R29" s="14">
        <f t="shared" si="9"/>
        <v>0</v>
      </c>
      <c r="S29" s="14">
        <f t="shared" si="10"/>
        <v>0</v>
      </c>
      <c r="T29" s="14">
        <f t="shared" si="11"/>
        <v>0</v>
      </c>
    </row>
    <row r="30" spans="1:20" x14ac:dyDescent="0.35">
      <c r="A30" s="14">
        <v>27</v>
      </c>
      <c r="B30" s="24">
        <v>3</v>
      </c>
      <c r="C30" s="24">
        <f t="shared" si="0"/>
        <v>0</v>
      </c>
      <c r="D30" s="24">
        <f t="shared" si="1"/>
        <v>1</v>
      </c>
      <c r="E30" s="24" t="s">
        <v>59</v>
      </c>
      <c r="F30" s="24" cm="1">
        <f t="array" ref="F30">_xlfn.IFS(E30="18 - 24", 1, E30="25 - 34", 2, E30="35 - 44", 3, E30="45 - 54", 4)</f>
        <v>1</v>
      </c>
      <c r="G30" s="24">
        <f t="shared" si="2"/>
        <v>1</v>
      </c>
      <c r="H30" s="24">
        <f t="shared" si="3"/>
        <v>0</v>
      </c>
      <c r="I30" s="77" t="s">
        <v>50</v>
      </c>
      <c r="J30" s="24">
        <f t="shared" si="4"/>
        <v>1</v>
      </c>
      <c r="K30" s="77" t="s">
        <v>52</v>
      </c>
      <c r="L30" s="24">
        <f t="shared" si="5"/>
        <v>1</v>
      </c>
      <c r="M30" s="77" t="s">
        <v>53</v>
      </c>
      <c r="N30" s="24">
        <f t="shared" si="6"/>
        <v>1</v>
      </c>
      <c r="O30" s="14">
        <f t="shared" si="7"/>
        <v>0</v>
      </c>
      <c r="P30" s="24">
        <v>2</v>
      </c>
      <c r="Q30" s="14">
        <f t="shared" si="8"/>
        <v>0</v>
      </c>
      <c r="R30" s="14">
        <f t="shared" si="9"/>
        <v>0</v>
      </c>
      <c r="S30" s="14">
        <f t="shared" si="10"/>
        <v>0</v>
      </c>
      <c r="T30" s="14">
        <f t="shared" si="11"/>
        <v>1</v>
      </c>
    </row>
    <row r="31" spans="1:20" x14ac:dyDescent="0.35">
      <c r="A31" s="14">
        <v>28</v>
      </c>
      <c r="B31" s="24">
        <v>3</v>
      </c>
      <c r="C31" s="24">
        <f t="shared" si="0"/>
        <v>0</v>
      </c>
      <c r="D31" s="24">
        <f t="shared" si="1"/>
        <v>1</v>
      </c>
      <c r="E31" s="24" t="s">
        <v>49</v>
      </c>
      <c r="F31" s="24" cm="1">
        <f t="array" ref="F31">_xlfn.IFS(E31="18 - 24", 1, E31="25 - 34", 2, E31="35 - 44", 3, E31="45 - 54", 4)</f>
        <v>2</v>
      </c>
      <c r="G31" s="24">
        <f t="shared" si="2"/>
        <v>0</v>
      </c>
      <c r="H31" s="24">
        <f t="shared" si="3"/>
        <v>1</v>
      </c>
      <c r="I31" s="77" t="s">
        <v>81</v>
      </c>
      <c r="J31" s="24">
        <f t="shared" si="4"/>
        <v>0</v>
      </c>
      <c r="K31" s="77" t="s">
        <v>52</v>
      </c>
      <c r="L31" s="24">
        <f t="shared" si="5"/>
        <v>1</v>
      </c>
      <c r="M31" s="77" t="s">
        <v>60</v>
      </c>
      <c r="N31" s="24">
        <f t="shared" si="6"/>
        <v>1</v>
      </c>
      <c r="O31" s="14">
        <f t="shared" si="7"/>
        <v>0</v>
      </c>
      <c r="P31" s="24">
        <v>1</v>
      </c>
      <c r="Q31" s="14">
        <f t="shared" si="8"/>
        <v>1</v>
      </c>
      <c r="R31" s="14">
        <f t="shared" si="9"/>
        <v>0</v>
      </c>
      <c r="S31" s="14">
        <f t="shared" si="10"/>
        <v>0</v>
      </c>
      <c r="T31" s="14">
        <f t="shared" si="11"/>
        <v>0</v>
      </c>
    </row>
    <row r="32" spans="1:20" x14ac:dyDescent="0.35">
      <c r="A32" s="14">
        <v>29</v>
      </c>
      <c r="B32" s="24">
        <v>4</v>
      </c>
      <c r="C32" s="24">
        <f t="shared" si="0"/>
        <v>0</v>
      </c>
      <c r="D32" s="24">
        <f t="shared" si="1"/>
        <v>1</v>
      </c>
      <c r="E32" s="24" t="s">
        <v>59</v>
      </c>
      <c r="F32" s="24" cm="1">
        <f t="array" ref="F32">_xlfn.IFS(E32="18 - 24", 1, E32="25 - 34", 2, E32="35 - 44", 3, E32="45 - 54", 4)</f>
        <v>1</v>
      </c>
      <c r="G32" s="24">
        <f t="shared" si="2"/>
        <v>1</v>
      </c>
      <c r="H32" s="24">
        <f t="shared" si="3"/>
        <v>0</v>
      </c>
      <c r="I32" s="77" t="s">
        <v>81</v>
      </c>
      <c r="J32" s="24">
        <f t="shared" si="4"/>
        <v>0</v>
      </c>
      <c r="K32" s="77" t="s">
        <v>52</v>
      </c>
      <c r="L32" s="24">
        <f t="shared" si="5"/>
        <v>1</v>
      </c>
      <c r="M32" s="77" t="s">
        <v>60</v>
      </c>
      <c r="N32" s="24">
        <f t="shared" si="6"/>
        <v>1</v>
      </c>
      <c r="O32" s="14">
        <f t="shared" si="7"/>
        <v>0</v>
      </c>
      <c r="P32" s="24">
        <v>3</v>
      </c>
      <c r="Q32" s="14">
        <f t="shared" si="8"/>
        <v>0</v>
      </c>
      <c r="R32" s="14">
        <f t="shared" si="9"/>
        <v>1</v>
      </c>
      <c r="S32" s="14">
        <f t="shared" si="10"/>
        <v>0</v>
      </c>
      <c r="T32" s="14">
        <f t="shared" si="11"/>
        <v>1</v>
      </c>
    </row>
    <row r="33" spans="1:20" x14ac:dyDescent="0.35">
      <c r="A33" s="14">
        <v>30</v>
      </c>
      <c r="B33" s="24">
        <v>3</v>
      </c>
      <c r="C33" s="24">
        <f t="shared" si="0"/>
        <v>0</v>
      </c>
      <c r="D33" s="24">
        <f t="shared" si="1"/>
        <v>1</v>
      </c>
      <c r="E33" s="24" t="s">
        <v>49</v>
      </c>
      <c r="F33" s="24" cm="1">
        <f t="array" ref="F33">_xlfn.IFS(E33="18 - 24", 1, E33="25 - 34", 2, E33="35 - 44", 3, E33="45 - 54", 4)</f>
        <v>2</v>
      </c>
      <c r="G33" s="24">
        <f t="shared" si="2"/>
        <v>0</v>
      </c>
      <c r="H33" s="24">
        <f t="shared" si="3"/>
        <v>1</v>
      </c>
      <c r="I33" s="77" t="s">
        <v>50</v>
      </c>
      <c r="J33" s="24">
        <f t="shared" si="4"/>
        <v>1</v>
      </c>
      <c r="K33" s="77" t="s">
        <v>52</v>
      </c>
      <c r="L33" s="24">
        <f t="shared" si="5"/>
        <v>1</v>
      </c>
      <c r="M33" s="77" t="s">
        <v>60</v>
      </c>
      <c r="N33" s="24">
        <f t="shared" si="6"/>
        <v>1</v>
      </c>
      <c r="O33" s="14">
        <f t="shared" si="7"/>
        <v>0</v>
      </c>
      <c r="P33" s="24">
        <v>1</v>
      </c>
      <c r="Q33" s="14">
        <f t="shared" si="8"/>
        <v>1</v>
      </c>
      <c r="R33" s="14">
        <f t="shared" si="9"/>
        <v>0</v>
      </c>
      <c r="S33" s="14">
        <f t="shared" si="10"/>
        <v>0</v>
      </c>
      <c r="T33" s="14">
        <f t="shared" si="11"/>
        <v>0</v>
      </c>
    </row>
    <row r="34" spans="1:20" x14ac:dyDescent="0.35">
      <c r="A34" s="14">
        <v>31</v>
      </c>
      <c r="B34" s="24">
        <v>3</v>
      </c>
      <c r="C34" s="24">
        <f t="shared" si="0"/>
        <v>0</v>
      </c>
      <c r="D34" s="24">
        <f t="shared" si="1"/>
        <v>1</v>
      </c>
      <c r="E34" s="24" t="s">
        <v>59</v>
      </c>
      <c r="F34" s="24" cm="1">
        <f t="array" ref="F34">_xlfn.IFS(E34="18 - 24", 1, E34="25 - 34", 2, E34="35 - 44", 3, E34="45 - 54", 4)</f>
        <v>1</v>
      </c>
      <c r="G34" s="24">
        <f t="shared" si="2"/>
        <v>1</v>
      </c>
      <c r="H34" s="24">
        <f t="shared" si="3"/>
        <v>0</v>
      </c>
      <c r="I34" s="77" t="s">
        <v>81</v>
      </c>
      <c r="J34" s="24">
        <f t="shared" si="4"/>
        <v>0</v>
      </c>
      <c r="K34" s="77" t="s">
        <v>52</v>
      </c>
      <c r="L34" s="24">
        <f t="shared" si="5"/>
        <v>1</v>
      </c>
      <c r="M34" s="77" t="s">
        <v>53</v>
      </c>
      <c r="N34" s="24">
        <f t="shared" si="6"/>
        <v>1</v>
      </c>
      <c r="O34" s="14">
        <f t="shared" si="7"/>
        <v>0</v>
      </c>
      <c r="P34" s="24">
        <v>2</v>
      </c>
      <c r="Q34" s="14">
        <f t="shared" si="8"/>
        <v>0</v>
      </c>
      <c r="R34" s="14">
        <f t="shared" si="9"/>
        <v>0</v>
      </c>
      <c r="S34" s="14">
        <f t="shared" si="10"/>
        <v>0</v>
      </c>
      <c r="T34" s="14">
        <f t="shared" si="11"/>
        <v>1</v>
      </c>
    </row>
    <row r="35" spans="1:20" x14ac:dyDescent="0.35">
      <c r="A35" s="14">
        <v>32</v>
      </c>
      <c r="B35" s="24">
        <v>2</v>
      </c>
      <c r="C35" s="24">
        <f t="shared" si="0"/>
        <v>1</v>
      </c>
      <c r="D35" s="24">
        <f t="shared" si="1"/>
        <v>0</v>
      </c>
      <c r="E35" s="24" t="s">
        <v>59</v>
      </c>
      <c r="F35" s="24" cm="1">
        <f t="array" ref="F35">_xlfn.IFS(E35="18 - 24", 1, E35="25 - 34", 2, E35="35 - 44", 3, E35="45 - 54", 4)</f>
        <v>1</v>
      </c>
      <c r="G35" s="24">
        <f t="shared" si="2"/>
        <v>1</v>
      </c>
      <c r="H35" s="24">
        <f t="shared" si="3"/>
        <v>0</v>
      </c>
      <c r="I35" s="77" t="s">
        <v>81</v>
      </c>
      <c r="J35" s="24">
        <f t="shared" si="4"/>
        <v>0</v>
      </c>
      <c r="K35" s="77" t="s">
        <v>52</v>
      </c>
      <c r="L35" s="24">
        <f t="shared" si="5"/>
        <v>1</v>
      </c>
      <c r="M35" s="77" t="s">
        <v>53</v>
      </c>
      <c r="N35" s="24">
        <f t="shared" si="6"/>
        <v>1</v>
      </c>
      <c r="O35" s="14">
        <f t="shared" si="7"/>
        <v>0</v>
      </c>
      <c r="P35" s="24">
        <v>2</v>
      </c>
      <c r="Q35" s="14">
        <f t="shared" si="8"/>
        <v>0</v>
      </c>
      <c r="R35" s="14">
        <f t="shared" si="9"/>
        <v>0</v>
      </c>
      <c r="S35" s="14">
        <f t="shared" si="10"/>
        <v>0</v>
      </c>
      <c r="T35" s="14">
        <f t="shared" si="11"/>
        <v>1</v>
      </c>
    </row>
    <row r="36" spans="1:20" x14ac:dyDescent="0.35">
      <c r="A36" s="14">
        <v>33</v>
      </c>
      <c r="B36" s="24">
        <v>1</v>
      </c>
      <c r="C36" s="24">
        <f t="shared" si="0"/>
        <v>1</v>
      </c>
      <c r="D36" s="24">
        <f t="shared" si="1"/>
        <v>0</v>
      </c>
      <c r="E36" s="24" t="s">
        <v>49</v>
      </c>
      <c r="F36" s="24" cm="1">
        <f t="array" ref="F36">_xlfn.IFS(E36="18 - 24", 1, E36="25 - 34", 2, E36="35 - 44", 3, E36="45 - 54", 4)</f>
        <v>2</v>
      </c>
      <c r="G36" s="24">
        <f t="shared" si="2"/>
        <v>0</v>
      </c>
      <c r="H36" s="24">
        <f t="shared" si="3"/>
        <v>1</v>
      </c>
      <c r="I36" s="77" t="s">
        <v>50</v>
      </c>
      <c r="J36" s="24">
        <f t="shared" si="4"/>
        <v>1</v>
      </c>
      <c r="K36" s="77" t="s">
        <v>52</v>
      </c>
      <c r="L36" s="24">
        <f t="shared" si="5"/>
        <v>1</v>
      </c>
      <c r="M36" s="77" t="s">
        <v>53</v>
      </c>
      <c r="N36" s="24">
        <f t="shared" si="6"/>
        <v>1</v>
      </c>
      <c r="O36" s="14">
        <f t="shared" si="7"/>
        <v>0</v>
      </c>
      <c r="P36" s="24">
        <v>1</v>
      </c>
      <c r="Q36" s="14">
        <f t="shared" si="8"/>
        <v>1</v>
      </c>
      <c r="R36" s="14">
        <f t="shared" si="9"/>
        <v>0</v>
      </c>
      <c r="S36" s="14">
        <f t="shared" si="10"/>
        <v>1</v>
      </c>
      <c r="T36" s="14">
        <f t="shared" si="11"/>
        <v>0</v>
      </c>
    </row>
    <row r="37" spans="1:20" x14ac:dyDescent="0.35">
      <c r="A37" s="14">
        <v>34</v>
      </c>
      <c r="B37" s="24">
        <v>1</v>
      </c>
      <c r="C37" s="24">
        <f t="shared" si="0"/>
        <v>1</v>
      </c>
      <c r="D37" s="24">
        <f t="shared" si="1"/>
        <v>0</v>
      </c>
      <c r="E37" s="24" t="s">
        <v>59</v>
      </c>
      <c r="F37" s="24" cm="1">
        <f t="array" ref="F37">_xlfn.IFS(E37="18 - 24", 1, E37="25 - 34", 2, E37="35 - 44", 3, E37="45 - 54", 4)</f>
        <v>1</v>
      </c>
      <c r="G37" s="24">
        <f t="shared" si="2"/>
        <v>1</v>
      </c>
      <c r="H37" s="24">
        <f t="shared" si="3"/>
        <v>0</v>
      </c>
      <c r="I37" s="77" t="s">
        <v>50</v>
      </c>
      <c r="J37" s="24">
        <f t="shared" si="4"/>
        <v>1</v>
      </c>
      <c r="K37" s="77" t="s">
        <v>52</v>
      </c>
      <c r="L37" s="24">
        <f t="shared" si="5"/>
        <v>1</v>
      </c>
      <c r="M37" s="77" t="s">
        <v>60</v>
      </c>
      <c r="N37" s="24">
        <f t="shared" si="6"/>
        <v>1</v>
      </c>
      <c r="O37" s="14">
        <f t="shared" si="7"/>
        <v>0</v>
      </c>
      <c r="P37" s="24">
        <v>1</v>
      </c>
      <c r="Q37" s="14">
        <f t="shared" si="8"/>
        <v>1</v>
      </c>
      <c r="R37" s="14">
        <f t="shared" si="9"/>
        <v>0</v>
      </c>
      <c r="S37" s="14">
        <f t="shared" si="10"/>
        <v>1</v>
      </c>
      <c r="T37" s="14">
        <f t="shared" si="11"/>
        <v>1</v>
      </c>
    </row>
    <row r="38" spans="1:20" x14ac:dyDescent="0.35">
      <c r="A38" s="14">
        <v>35</v>
      </c>
      <c r="B38" s="24">
        <v>1</v>
      </c>
      <c r="C38" s="24">
        <f t="shared" si="0"/>
        <v>1</v>
      </c>
      <c r="D38" s="24">
        <f t="shared" si="1"/>
        <v>0</v>
      </c>
      <c r="E38" s="24" t="s">
        <v>49</v>
      </c>
      <c r="F38" s="24" cm="1">
        <f t="array" ref="F38">_xlfn.IFS(E38="18 - 24", 1, E38="25 - 34", 2, E38="35 - 44", 3, E38="45 - 54", 4)</f>
        <v>2</v>
      </c>
      <c r="G38" s="24">
        <f t="shared" si="2"/>
        <v>0</v>
      </c>
      <c r="H38" s="24">
        <f t="shared" si="3"/>
        <v>1</v>
      </c>
      <c r="I38" s="77" t="s">
        <v>81</v>
      </c>
      <c r="J38" s="24">
        <f t="shared" si="4"/>
        <v>0</v>
      </c>
      <c r="K38" s="77" t="s">
        <v>52</v>
      </c>
      <c r="L38" s="24">
        <f t="shared" si="5"/>
        <v>1</v>
      </c>
      <c r="M38" s="77" t="s">
        <v>60</v>
      </c>
      <c r="N38" s="24">
        <f t="shared" si="6"/>
        <v>1</v>
      </c>
      <c r="O38" s="14">
        <f t="shared" si="7"/>
        <v>0</v>
      </c>
      <c r="P38" s="24">
        <v>1</v>
      </c>
      <c r="Q38" s="14">
        <f t="shared" si="8"/>
        <v>1</v>
      </c>
      <c r="R38" s="14">
        <f t="shared" si="9"/>
        <v>0</v>
      </c>
      <c r="S38" s="14">
        <f t="shared" si="10"/>
        <v>1</v>
      </c>
      <c r="T38" s="14">
        <f t="shared" si="11"/>
        <v>0</v>
      </c>
    </row>
    <row r="39" spans="1:20" x14ac:dyDescent="0.35">
      <c r="A39" s="14">
        <v>36</v>
      </c>
      <c r="B39" s="24">
        <v>3</v>
      </c>
      <c r="C39" s="24">
        <f t="shared" si="0"/>
        <v>0</v>
      </c>
      <c r="D39" s="24">
        <f t="shared" si="1"/>
        <v>1</v>
      </c>
      <c r="E39" s="24" t="s">
        <v>59</v>
      </c>
      <c r="F39" s="24" cm="1">
        <f t="array" ref="F39">_xlfn.IFS(E39="18 - 24", 1, E39="25 - 34", 2, E39="35 - 44", 3, E39="45 - 54", 4)</f>
        <v>1</v>
      </c>
      <c r="G39" s="24">
        <f t="shared" si="2"/>
        <v>1</v>
      </c>
      <c r="H39" s="24">
        <f t="shared" si="3"/>
        <v>0</v>
      </c>
      <c r="I39" s="77" t="s">
        <v>50</v>
      </c>
      <c r="J39" s="24">
        <f t="shared" si="4"/>
        <v>1</v>
      </c>
      <c r="K39" s="77" t="s">
        <v>52</v>
      </c>
      <c r="L39" s="24">
        <f t="shared" si="5"/>
        <v>1</v>
      </c>
      <c r="M39" s="77" t="s">
        <v>53</v>
      </c>
      <c r="N39" s="24">
        <f t="shared" si="6"/>
        <v>1</v>
      </c>
      <c r="O39" s="14">
        <f t="shared" si="7"/>
        <v>0</v>
      </c>
      <c r="P39" s="24">
        <v>3</v>
      </c>
      <c r="Q39" s="14">
        <f t="shared" si="8"/>
        <v>0</v>
      </c>
      <c r="R39" s="14">
        <f t="shared" si="9"/>
        <v>1</v>
      </c>
      <c r="S39" s="14">
        <f t="shared" si="10"/>
        <v>0</v>
      </c>
      <c r="T39" s="14">
        <f t="shared" si="11"/>
        <v>1</v>
      </c>
    </row>
    <row r="40" spans="1:20" x14ac:dyDescent="0.35">
      <c r="A40" s="14">
        <v>37</v>
      </c>
      <c r="B40" s="24">
        <v>1</v>
      </c>
      <c r="C40" s="24">
        <f t="shared" si="0"/>
        <v>1</v>
      </c>
      <c r="D40" s="24">
        <f t="shared" si="1"/>
        <v>0</v>
      </c>
      <c r="E40" s="24" t="s">
        <v>59</v>
      </c>
      <c r="F40" s="24" cm="1">
        <f t="array" ref="F40">_xlfn.IFS(E40="18 - 24", 1, E40="25 - 34", 2, E40="35 - 44", 3, E40="45 - 54", 4)</f>
        <v>1</v>
      </c>
      <c r="G40" s="24">
        <f t="shared" si="2"/>
        <v>1</v>
      </c>
      <c r="H40" s="24">
        <f t="shared" si="3"/>
        <v>0</v>
      </c>
      <c r="I40" s="77" t="s">
        <v>50</v>
      </c>
      <c r="J40" s="24">
        <f t="shared" si="4"/>
        <v>1</v>
      </c>
      <c r="K40" s="77" t="s">
        <v>52</v>
      </c>
      <c r="L40" s="24">
        <f t="shared" si="5"/>
        <v>1</v>
      </c>
      <c r="M40" s="77" t="s">
        <v>60</v>
      </c>
      <c r="N40" s="24">
        <f t="shared" si="6"/>
        <v>1</v>
      </c>
      <c r="O40" s="14">
        <f t="shared" si="7"/>
        <v>0</v>
      </c>
      <c r="P40" s="24">
        <v>1</v>
      </c>
      <c r="Q40" s="14">
        <f t="shared" si="8"/>
        <v>1</v>
      </c>
      <c r="R40" s="14">
        <f t="shared" si="9"/>
        <v>0</v>
      </c>
      <c r="S40" s="14">
        <f t="shared" si="10"/>
        <v>1</v>
      </c>
      <c r="T40" s="14">
        <f t="shared" si="11"/>
        <v>1</v>
      </c>
    </row>
    <row r="41" spans="1:20" x14ac:dyDescent="0.35">
      <c r="A41" s="14">
        <v>38</v>
      </c>
      <c r="B41" s="24">
        <v>3</v>
      </c>
      <c r="C41" s="24">
        <f t="shared" si="0"/>
        <v>0</v>
      </c>
      <c r="D41" s="24">
        <f t="shared" si="1"/>
        <v>1</v>
      </c>
      <c r="E41" s="24" t="s">
        <v>59</v>
      </c>
      <c r="F41" s="24" cm="1">
        <f t="array" ref="F41">_xlfn.IFS(E41="18 - 24", 1, E41="25 - 34", 2, E41="35 - 44", 3, E41="45 - 54", 4)</f>
        <v>1</v>
      </c>
      <c r="G41" s="24">
        <f t="shared" si="2"/>
        <v>1</v>
      </c>
      <c r="H41" s="24">
        <f t="shared" si="3"/>
        <v>0</v>
      </c>
      <c r="I41" s="77" t="s">
        <v>81</v>
      </c>
      <c r="J41" s="24">
        <f t="shared" si="4"/>
        <v>0</v>
      </c>
      <c r="K41" s="77" t="s">
        <v>52</v>
      </c>
      <c r="L41" s="24">
        <f t="shared" si="5"/>
        <v>1</v>
      </c>
      <c r="M41" s="77" t="s">
        <v>60</v>
      </c>
      <c r="N41" s="24">
        <f t="shared" si="6"/>
        <v>1</v>
      </c>
      <c r="O41" s="14">
        <f t="shared" si="7"/>
        <v>0</v>
      </c>
      <c r="P41" s="24">
        <v>1</v>
      </c>
      <c r="Q41" s="14">
        <f t="shared" si="8"/>
        <v>1</v>
      </c>
      <c r="R41" s="14">
        <f t="shared" si="9"/>
        <v>0</v>
      </c>
      <c r="S41" s="14">
        <f t="shared" si="10"/>
        <v>0</v>
      </c>
      <c r="T41" s="14">
        <f t="shared" si="11"/>
        <v>1</v>
      </c>
    </row>
    <row r="42" spans="1:20" x14ac:dyDescent="0.35">
      <c r="A42" s="14">
        <v>39</v>
      </c>
      <c r="B42" s="24">
        <v>2</v>
      </c>
      <c r="C42" s="24">
        <f t="shared" si="0"/>
        <v>1</v>
      </c>
      <c r="D42" s="24">
        <f t="shared" si="1"/>
        <v>0</v>
      </c>
      <c r="E42" s="24" t="s">
        <v>59</v>
      </c>
      <c r="F42" s="24" cm="1">
        <f t="array" ref="F42">_xlfn.IFS(E42="18 - 24", 1, E42="25 - 34", 2, E42="35 - 44", 3, E42="45 - 54", 4)</f>
        <v>1</v>
      </c>
      <c r="G42" s="24">
        <f t="shared" si="2"/>
        <v>1</v>
      </c>
      <c r="H42" s="24">
        <f t="shared" si="3"/>
        <v>0</v>
      </c>
      <c r="I42" s="77" t="s">
        <v>81</v>
      </c>
      <c r="J42" s="24">
        <f t="shared" si="4"/>
        <v>0</v>
      </c>
      <c r="K42" s="77" t="s">
        <v>52</v>
      </c>
      <c r="L42" s="24">
        <f t="shared" si="5"/>
        <v>1</v>
      </c>
      <c r="M42" s="77" t="s">
        <v>53</v>
      </c>
      <c r="N42" s="24">
        <f t="shared" si="6"/>
        <v>1</v>
      </c>
      <c r="O42" s="14">
        <f t="shared" si="7"/>
        <v>0</v>
      </c>
      <c r="P42" s="24">
        <v>2</v>
      </c>
      <c r="Q42" s="14">
        <f t="shared" si="8"/>
        <v>0</v>
      </c>
      <c r="R42" s="14">
        <f t="shared" si="9"/>
        <v>0</v>
      </c>
      <c r="S42" s="14">
        <f t="shared" si="10"/>
        <v>0</v>
      </c>
      <c r="T42" s="14">
        <f t="shared" si="11"/>
        <v>1</v>
      </c>
    </row>
    <row r="43" spans="1:20" ht="29" x14ac:dyDescent="0.35">
      <c r="A43" s="14">
        <v>40</v>
      </c>
      <c r="B43" s="24">
        <v>1</v>
      </c>
      <c r="C43" s="24">
        <f t="shared" si="0"/>
        <v>1</v>
      </c>
      <c r="D43" s="24">
        <f t="shared" si="1"/>
        <v>0</v>
      </c>
      <c r="E43" s="24" t="s">
        <v>49</v>
      </c>
      <c r="F43" s="24" cm="1">
        <f t="array" ref="F43">_xlfn.IFS(E43="18 - 24", 1, E43="25 - 34", 2, E43="35 - 44", 3, E43="45 - 54", 4)</f>
        <v>2</v>
      </c>
      <c r="G43" s="24">
        <f t="shared" si="2"/>
        <v>0</v>
      </c>
      <c r="H43" s="24">
        <f t="shared" si="3"/>
        <v>1</v>
      </c>
      <c r="I43" s="77" t="s">
        <v>50</v>
      </c>
      <c r="J43" s="24">
        <f t="shared" si="4"/>
        <v>1</v>
      </c>
      <c r="K43" s="77" t="s">
        <v>67</v>
      </c>
      <c r="L43" s="24">
        <f t="shared" si="5"/>
        <v>0</v>
      </c>
      <c r="M43" s="77" t="s">
        <v>60</v>
      </c>
      <c r="N43" s="24">
        <f t="shared" si="6"/>
        <v>1</v>
      </c>
      <c r="O43" s="14">
        <f t="shared" si="7"/>
        <v>0</v>
      </c>
      <c r="P43" s="24">
        <v>1</v>
      </c>
      <c r="Q43" s="14">
        <f t="shared" si="8"/>
        <v>1</v>
      </c>
      <c r="R43" s="14">
        <f t="shared" si="9"/>
        <v>0</v>
      </c>
      <c r="S43" s="14">
        <f t="shared" si="10"/>
        <v>1</v>
      </c>
      <c r="T43" s="14">
        <f t="shared" si="11"/>
        <v>0</v>
      </c>
    </row>
    <row r="44" spans="1:20" ht="29" x14ac:dyDescent="0.35">
      <c r="A44" s="14">
        <v>41</v>
      </c>
      <c r="B44" s="24">
        <v>1</v>
      </c>
      <c r="C44" s="24">
        <f t="shared" si="0"/>
        <v>1</v>
      </c>
      <c r="D44" s="24">
        <f t="shared" si="1"/>
        <v>0</v>
      </c>
      <c r="E44" s="24" t="s">
        <v>49</v>
      </c>
      <c r="F44" s="24" cm="1">
        <f t="array" ref="F44">_xlfn.IFS(E44="18 - 24", 1, E44="25 - 34", 2, E44="35 - 44", 3, E44="45 - 54", 4)</f>
        <v>2</v>
      </c>
      <c r="G44" s="24">
        <f t="shared" si="2"/>
        <v>0</v>
      </c>
      <c r="H44" s="24">
        <f t="shared" si="3"/>
        <v>1</v>
      </c>
      <c r="I44" s="77" t="s">
        <v>50</v>
      </c>
      <c r="J44" s="24">
        <f t="shared" si="4"/>
        <v>1</v>
      </c>
      <c r="K44" s="77" t="s">
        <v>67</v>
      </c>
      <c r="L44" s="24">
        <f t="shared" si="5"/>
        <v>0</v>
      </c>
      <c r="M44" s="77" t="s">
        <v>161</v>
      </c>
      <c r="N44" s="24">
        <f t="shared" si="6"/>
        <v>0</v>
      </c>
      <c r="O44" s="14">
        <f t="shared" si="7"/>
        <v>1</v>
      </c>
      <c r="P44" s="24">
        <v>1</v>
      </c>
      <c r="Q44" s="14">
        <f t="shared" si="8"/>
        <v>1</v>
      </c>
      <c r="R44" s="14">
        <f t="shared" si="9"/>
        <v>0</v>
      </c>
      <c r="S44" s="14">
        <f t="shared" si="10"/>
        <v>1</v>
      </c>
      <c r="T44" s="14">
        <f t="shared" si="11"/>
        <v>0</v>
      </c>
    </row>
    <row r="45" spans="1:20" ht="29" x14ac:dyDescent="0.35">
      <c r="A45" s="14">
        <v>42</v>
      </c>
      <c r="B45" s="24">
        <v>2</v>
      </c>
      <c r="C45" s="24">
        <f t="shared" si="0"/>
        <v>1</v>
      </c>
      <c r="D45" s="24">
        <f t="shared" si="1"/>
        <v>0</v>
      </c>
      <c r="E45" s="24" t="s">
        <v>59</v>
      </c>
      <c r="F45" s="24" cm="1">
        <f t="array" ref="F45">_xlfn.IFS(E45="18 - 24", 1, E45="25 - 34", 2, E45="35 - 44", 3, E45="45 - 54", 4)</f>
        <v>1</v>
      </c>
      <c r="G45" s="24">
        <f t="shared" si="2"/>
        <v>1</v>
      </c>
      <c r="H45" s="24">
        <f t="shared" si="3"/>
        <v>0</v>
      </c>
      <c r="I45" s="77" t="s">
        <v>81</v>
      </c>
      <c r="J45" s="24">
        <f t="shared" si="4"/>
        <v>0</v>
      </c>
      <c r="K45" s="77" t="s">
        <v>67</v>
      </c>
      <c r="L45" s="24">
        <f t="shared" si="5"/>
        <v>0</v>
      </c>
      <c r="M45" s="77" t="s">
        <v>53</v>
      </c>
      <c r="N45" s="24">
        <f t="shared" si="6"/>
        <v>1</v>
      </c>
      <c r="O45" s="14">
        <f t="shared" si="7"/>
        <v>0</v>
      </c>
      <c r="P45" s="24">
        <v>1</v>
      </c>
      <c r="Q45" s="14">
        <f t="shared" si="8"/>
        <v>1</v>
      </c>
      <c r="R45" s="14">
        <f t="shared" si="9"/>
        <v>0</v>
      </c>
      <c r="S45" s="14">
        <f t="shared" si="10"/>
        <v>1</v>
      </c>
      <c r="T45" s="14">
        <f t="shared" si="11"/>
        <v>1</v>
      </c>
    </row>
    <row r="46" spans="1:20" x14ac:dyDescent="0.35">
      <c r="A46" s="14">
        <v>43</v>
      </c>
      <c r="B46" s="24">
        <v>2</v>
      </c>
      <c r="C46" s="24">
        <f t="shared" si="0"/>
        <v>1</v>
      </c>
      <c r="D46" s="24">
        <f t="shared" si="1"/>
        <v>0</v>
      </c>
      <c r="E46" s="24" t="s">
        <v>59</v>
      </c>
      <c r="F46" s="24" cm="1">
        <f t="array" ref="F46">_xlfn.IFS(E46="18 - 24", 1, E46="25 - 34", 2, E46="35 - 44", 3, E46="45 - 54", 4)</f>
        <v>1</v>
      </c>
      <c r="G46" s="24">
        <f t="shared" si="2"/>
        <v>1</v>
      </c>
      <c r="H46" s="24">
        <f t="shared" si="3"/>
        <v>0</v>
      </c>
      <c r="I46" s="77" t="s">
        <v>81</v>
      </c>
      <c r="J46" s="24">
        <f t="shared" si="4"/>
        <v>0</v>
      </c>
      <c r="K46" s="77" t="s">
        <v>52</v>
      </c>
      <c r="L46" s="24">
        <f t="shared" si="5"/>
        <v>1</v>
      </c>
      <c r="M46" s="77" t="s">
        <v>60</v>
      </c>
      <c r="N46" s="24">
        <f t="shared" si="6"/>
        <v>1</v>
      </c>
      <c r="O46" s="14">
        <f t="shared" si="7"/>
        <v>0</v>
      </c>
      <c r="P46" s="24">
        <v>2</v>
      </c>
      <c r="Q46" s="14">
        <f t="shared" si="8"/>
        <v>0</v>
      </c>
      <c r="R46" s="14">
        <f t="shared" si="9"/>
        <v>0</v>
      </c>
      <c r="S46" s="14">
        <f t="shared" si="10"/>
        <v>0</v>
      </c>
      <c r="T46" s="14">
        <f t="shared" si="11"/>
        <v>1</v>
      </c>
    </row>
    <row r="47" spans="1:20" ht="29" x14ac:dyDescent="0.35">
      <c r="A47" s="14">
        <v>44</v>
      </c>
      <c r="B47" s="24">
        <v>3</v>
      </c>
      <c r="C47" s="24">
        <f t="shared" si="0"/>
        <v>0</v>
      </c>
      <c r="D47" s="24">
        <f t="shared" si="1"/>
        <v>1</v>
      </c>
      <c r="E47" s="24" t="s">
        <v>59</v>
      </c>
      <c r="F47" s="24" cm="1">
        <f t="array" ref="F47">_xlfn.IFS(E47="18 - 24", 1, E47="25 - 34", 2, E47="35 - 44", 3, E47="45 - 54", 4)</f>
        <v>1</v>
      </c>
      <c r="G47" s="24">
        <f t="shared" si="2"/>
        <v>1</v>
      </c>
      <c r="H47" s="24">
        <f t="shared" si="3"/>
        <v>0</v>
      </c>
      <c r="I47" s="77" t="s">
        <v>50</v>
      </c>
      <c r="J47" s="24">
        <f t="shared" si="4"/>
        <v>1</v>
      </c>
      <c r="K47" s="77" t="s">
        <v>67</v>
      </c>
      <c r="L47" s="24">
        <f t="shared" si="5"/>
        <v>0</v>
      </c>
      <c r="M47" s="77" t="s">
        <v>53</v>
      </c>
      <c r="N47" s="24">
        <f t="shared" si="6"/>
        <v>1</v>
      </c>
      <c r="O47" s="14">
        <f t="shared" si="7"/>
        <v>0</v>
      </c>
      <c r="P47" s="24">
        <v>1</v>
      </c>
      <c r="Q47" s="14">
        <f t="shared" si="8"/>
        <v>1</v>
      </c>
      <c r="R47" s="14">
        <f t="shared" si="9"/>
        <v>0</v>
      </c>
      <c r="S47" s="14">
        <f t="shared" si="10"/>
        <v>0</v>
      </c>
      <c r="T47" s="14">
        <f t="shared" si="11"/>
        <v>1</v>
      </c>
    </row>
    <row r="48" spans="1:20" ht="29" x14ac:dyDescent="0.35">
      <c r="A48" s="14">
        <v>45</v>
      </c>
      <c r="B48" s="24">
        <v>2</v>
      </c>
      <c r="C48" s="24">
        <f t="shared" si="0"/>
        <v>1</v>
      </c>
      <c r="D48" s="24">
        <f t="shared" si="1"/>
        <v>0</v>
      </c>
      <c r="E48" s="24" t="s">
        <v>80</v>
      </c>
      <c r="F48" s="24" cm="1">
        <f t="array" ref="F48">_xlfn.IFS(E48="18 - 24", 1, E48="25 - 34", 2, E48="35 - 44", 3, E48="45 - 54", 4)</f>
        <v>3</v>
      </c>
      <c r="G48" s="24">
        <f t="shared" si="2"/>
        <v>0</v>
      </c>
      <c r="H48" s="24">
        <f t="shared" si="3"/>
        <v>0</v>
      </c>
      <c r="I48" s="77" t="s">
        <v>81</v>
      </c>
      <c r="J48" s="24">
        <f t="shared" si="4"/>
        <v>0</v>
      </c>
      <c r="K48" s="77" t="s">
        <v>67</v>
      </c>
      <c r="L48" s="24">
        <f t="shared" si="5"/>
        <v>0</v>
      </c>
      <c r="M48" s="77" t="s">
        <v>60</v>
      </c>
      <c r="N48" s="24">
        <f t="shared" si="6"/>
        <v>1</v>
      </c>
      <c r="O48" s="14">
        <f t="shared" si="7"/>
        <v>0</v>
      </c>
      <c r="P48" s="24">
        <v>3</v>
      </c>
      <c r="Q48" s="14">
        <f t="shared" si="8"/>
        <v>0</v>
      </c>
      <c r="R48" s="14">
        <f t="shared" si="9"/>
        <v>1</v>
      </c>
      <c r="S48" s="14">
        <f t="shared" si="10"/>
        <v>0</v>
      </c>
      <c r="T48" s="14">
        <f t="shared" si="11"/>
        <v>0</v>
      </c>
    </row>
    <row r="49" spans="1:20" x14ac:dyDescent="0.35">
      <c r="A49" s="14">
        <v>46</v>
      </c>
      <c r="B49" s="24">
        <v>1</v>
      </c>
      <c r="C49" s="24">
        <f t="shared" si="0"/>
        <v>1</v>
      </c>
      <c r="D49" s="24">
        <f t="shared" si="1"/>
        <v>0</v>
      </c>
      <c r="E49" s="24" t="s">
        <v>49</v>
      </c>
      <c r="F49" s="24" cm="1">
        <f t="array" ref="F49">_xlfn.IFS(E49="18 - 24", 1, E49="25 - 34", 2, E49="35 - 44", 3, E49="45 - 54", 4)</f>
        <v>2</v>
      </c>
      <c r="G49" s="24">
        <f t="shared" si="2"/>
        <v>0</v>
      </c>
      <c r="H49" s="24">
        <f t="shared" si="3"/>
        <v>1</v>
      </c>
      <c r="I49" s="77" t="s">
        <v>50</v>
      </c>
      <c r="J49" s="24">
        <f t="shared" si="4"/>
        <v>1</v>
      </c>
      <c r="K49" s="77" t="s">
        <v>52</v>
      </c>
      <c r="L49" s="24">
        <f t="shared" si="5"/>
        <v>1</v>
      </c>
      <c r="M49" s="77" t="s">
        <v>53</v>
      </c>
      <c r="N49" s="24">
        <f t="shared" si="6"/>
        <v>1</v>
      </c>
      <c r="O49" s="14">
        <f t="shared" si="7"/>
        <v>0</v>
      </c>
      <c r="P49" s="24">
        <v>1</v>
      </c>
      <c r="Q49" s="14">
        <f t="shared" si="8"/>
        <v>1</v>
      </c>
      <c r="R49" s="14">
        <f t="shared" si="9"/>
        <v>0</v>
      </c>
      <c r="S49" s="14">
        <f t="shared" si="10"/>
        <v>1</v>
      </c>
      <c r="T49" s="14">
        <f t="shared" si="11"/>
        <v>0</v>
      </c>
    </row>
    <row r="50" spans="1:20" x14ac:dyDescent="0.35">
      <c r="A50" s="14">
        <v>47</v>
      </c>
      <c r="B50" s="24">
        <v>3</v>
      </c>
      <c r="C50" s="24">
        <f t="shared" si="0"/>
        <v>0</v>
      </c>
      <c r="D50" s="24">
        <f t="shared" si="1"/>
        <v>1</v>
      </c>
      <c r="E50" s="24" t="s">
        <v>59</v>
      </c>
      <c r="F50" s="24" cm="1">
        <f t="array" ref="F50">_xlfn.IFS(E50="18 - 24", 1, E50="25 - 34", 2, E50="35 - 44", 3, E50="45 - 54", 4)</f>
        <v>1</v>
      </c>
      <c r="G50" s="24">
        <f t="shared" si="2"/>
        <v>1</v>
      </c>
      <c r="H50" s="24">
        <f t="shared" si="3"/>
        <v>0</v>
      </c>
      <c r="I50" s="77" t="s">
        <v>81</v>
      </c>
      <c r="J50" s="24">
        <f t="shared" si="4"/>
        <v>0</v>
      </c>
      <c r="K50" s="77" t="s">
        <v>52</v>
      </c>
      <c r="L50" s="24">
        <f t="shared" si="5"/>
        <v>1</v>
      </c>
      <c r="M50" s="77" t="s">
        <v>60</v>
      </c>
      <c r="N50" s="24">
        <f t="shared" si="6"/>
        <v>1</v>
      </c>
      <c r="O50" s="14">
        <f t="shared" si="7"/>
        <v>0</v>
      </c>
      <c r="P50" s="24">
        <v>1</v>
      </c>
      <c r="Q50" s="14">
        <f t="shared" si="8"/>
        <v>1</v>
      </c>
      <c r="R50" s="14">
        <f t="shared" si="9"/>
        <v>0</v>
      </c>
      <c r="S50" s="14">
        <f t="shared" si="10"/>
        <v>0</v>
      </c>
      <c r="T50" s="14">
        <f t="shared" si="11"/>
        <v>1</v>
      </c>
    </row>
    <row r="51" spans="1:20" x14ac:dyDescent="0.35">
      <c r="A51" s="14">
        <v>48</v>
      </c>
      <c r="B51" s="24">
        <v>3</v>
      </c>
      <c r="C51" s="24">
        <f t="shared" si="0"/>
        <v>0</v>
      </c>
      <c r="D51" s="24">
        <f t="shared" si="1"/>
        <v>1</v>
      </c>
      <c r="E51" s="24" t="s">
        <v>59</v>
      </c>
      <c r="F51" s="24" cm="1">
        <f t="array" ref="F51">_xlfn.IFS(E51="18 - 24", 1, E51="25 - 34", 2, E51="35 - 44", 3, E51="45 - 54", 4)</f>
        <v>1</v>
      </c>
      <c r="G51" s="24">
        <f t="shared" si="2"/>
        <v>1</v>
      </c>
      <c r="H51" s="24">
        <f t="shared" si="3"/>
        <v>0</v>
      </c>
      <c r="I51" s="77" t="s">
        <v>81</v>
      </c>
      <c r="J51" s="24">
        <f t="shared" si="4"/>
        <v>0</v>
      </c>
      <c r="K51" s="77" t="s">
        <v>52</v>
      </c>
      <c r="L51" s="24">
        <f t="shared" si="5"/>
        <v>1</v>
      </c>
      <c r="M51" s="77" t="s">
        <v>53</v>
      </c>
      <c r="N51" s="24">
        <f t="shared" si="6"/>
        <v>1</v>
      </c>
      <c r="O51" s="14">
        <f t="shared" si="7"/>
        <v>0</v>
      </c>
      <c r="P51" s="24">
        <v>1</v>
      </c>
      <c r="Q51" s="14">
        <f t="shared" si="8"/>
        <v>1</v>
      </c>
      <c r="R51" s="14">
        <f t="shared" si="9"/>
        <v>0</v>
      </c>
      <c r="S51" s="14">
        <f t="shared" si="10"/>
        <v>0</v>
      </c>
      <c r="T51" s="14">
        <f t="shared" si="11"/>
        <v>1</v>
      </c>
    </row>
    <row r="52" spans="1:20" x14ac:dyDescent="0.35">
      <c r="A52" s="14">
        <v>49</v>
      </c>
      <c r="B52" s="24">
        <v>1</v>
      </c>
      <c r="C52" s="24">
        <f t="shared" si="0"/>
        <v>1</v>
      </c>
      <c r="D52" s="24">
        <f t="shared" si="1"/>
        <v>0</v>
      </c>
      <c r="E52" s="24" t="s">
        <v>59</v>
      </c>
      <c r="F52" s="24" cm="1">
        <f t="array" ref="F52">_xlfn.IFS(E52="18 - 24", 1, E52="25 - 34", 2, E52="35 - 44", 3, E52="45 - 54", 4)</f>
        <v>1</v>
      </c>
      <c r="G52" s="24">
        <f t="shared" si="2"/>
        <v>1</v>
      </c>
      <c r="H52" s="24">
        <f t="shared" si="3"/>
        <v>0</v>
      </c>
      <c r="I52" s="77" t="s">
        <v>81</v>
      </c>
      <c r="J52" s="24">
        <f t="shared" si="4"/>
        <v>0</v>
      </c>
      <c r="K52" s="77" t="s">
        <v>52</v>
      </c>
      <c r="L52" s="24">
        <f t="shared" si="5"/>
        <v>1</v>
      </c>
      <c r="M52" s="77" t="s">
        <v>53</v>
      </c>
      <c r="N52" s="24">
        <f t="shared" si="6"/>
        <v>1</v>
      </c>
      <c r="O52" s="14">
        <f t="shared" si="7"/>
        <v>0</v>
      </c>
      <c r="P52" s="24">
        <v>1</v>
      </c>
      <c r="Q52" s="14">
        <f t="shared" si="8"/>
        <v>1</v>
      </c>
      <c r="R52" s="14">
        <f t="shared" si="9"/>
        <v>0</v>
      </c>
      <c r="S52" s="14">
        <f t="shared" si="10"/>
        <v>1</v>
      </c>
      <c r="T52" s="14">
        <f t="shared" si="11"/>
        <v>1</v>
      </c>
    </row>
    <row r="53" spans="1:20" x14ac:dyDescent="0.35">
      <c r="A53" s="14">
        <v>50</v>
      </c>
      <c r="B53" s="24">
        <v>3</v>
      </c>
      <c r="C53" s="24">
        <f t="shared" si="0"/>
        <v>0</v>
      </c>
      <c r="D53" s="24">
        <f t="shared" si="1"/>
        <v>1</v>
      </c>
      <c r="E53" s="24" t="s">
        <v>49</v>
      </c>
      <c r="F53" s="24" cm="1">
        <f t="array" ref="F53">_xlfn.IFS(E53="18 - 24", 1, E53="25 - 34", 2, E53="35 - 44", 3, E53="45 - 54", 4)</f>
        <v>2</v>
      </c>
      <c r="G53" s="24">
        <f t="shared" si="2"/>
        <v>0</v>
      </c>
      <c r="H53" s="24">
        <f t="shared" si="3"/>
        <v>1</v>
      </c>
      <c r="I53" s="77" t="s">
        <v>81</v>
      </c>
      <c r="J53" s="24">
        <f t="shared" si="4"/>
        <v>0</v>
      </c>
      <c r="K53" s="77" t="s">
        <v>52</v>
      </c>
      <c r="L53" s="24">
        <f t="shared" si="5"/>
        <v>1</v>
      </c>
      <c r="M53" s="77" t="s">
        <v>53</v>
      </c>
      <c r="N53" s="24">
        <f t="shared" si="6"/>
        <v>1</v>
      </c>
      <c r="O53" s="14">
        <f t="shared" si="7"/>
        <v>0</v>
      </c>
      <c r="P53" s="24">
        <v>2</v>
      </c>
      <c r="Q53" s="14">
        <f t="shared" si="8"/>
        <v>0</v>
      </c>
      <c r="R53" s="14">
        <f t="shared" si="9"/>
        <v>0</v>
      </c>
      <c r="S53" s="14">
        <f t="shared" si="10"/>
        <v>0</v>
      </c>
      <c r="T53" s="14">
        <f t="shared" si="11"/>
        <v>0</v>
      </c>
    </row>
    <row r="54" spans="1:20" x14ac:dyDescent="0.35">
      <c r="A54" s="14">
        <v>51</v>
      </c>
      <c r="B54" s="24">
        <v>4</v>
      </c>
      <c r="C54" s="24">
        <f t="shared" si="0"/>
        <v>0</v>
      </c>
      <c r="D54" s="24">
        <f t="shared" si="1"/>
        <v>1</v>
      </c>
      <c r="E54" s="24" t="s">
        <v>59</v>
      </c>
      <c r="F54" s="24" cm="1">
        <f t="array" ref="F54">_xlfn.IFS(E54="18 - 24", 1, E54="25 - 34", 2, E54="35 - 44", 3, E54="45 - 54", 4)</f>
        <v>1</v>
      </c>
      <c r="G54" s="24">
        <f t="shared" si="2"/>
        <v>1</v>
      </c>
      <c r="H54" s="24">
        <f t="shared" si="3"/>
        <v>0</v>
      </c>
      <c r="I54" s="77" t="s">
        <v>81</v>
      </c>
      <c r="J54" s="24">
        <f t="shared" si="4"/>
        <v>0</v>
      </c>
      <c r="K54" s="77" t="s">
        <v>52</v>
      </c>
      <c r="L54" s="24">
        <f t="shared" si="5"/>
        <v>1</v>
      </c>
      <c r="M54" s="77" t="s">
        <v>60</v>
      </c>
      <c r="N54" s="24">
        <f t="shared" si="6"/>
        <v>1</v>
      </c>
      <c r="O54" s="14">
        <f t="shared" si="7"/>
        <v>0</v>
      </c>
      <c r="P54" s="24">
        <v>2</v>
      </c>
      <c r="Q54" s="14">
        <f t="shared" si="8"/>
        <v>0</v>
      </c>
      <c r="R54" s="14">
        <f t="shared" si="9"/>
        <v>0</v>
      </c>
      <c r="S54" s="14">
        <f t="shared" si="10"/>
        <v>0</v>
      </c>
      <c r="T54" s="14">
        <f t="shared" si="11"/>
        <v>1</v>
      </c>
    </row>
    <row r="55" spans="1:20" x14ac:dyDescent="0.35">
      <c r="A55" s="14">
        <v>52</v>
      </c>
      <c r="B55" s="24">
        <v>2</v>
      </c>
      <c r="C55" s="24">
        <f t="shared" si="0"/>
        <v>1</v>
      </c>
      <c r="D55" s="24">
        <f t="shared" si="1"/>
        <v>0</v>
      </c>
      <c r="E55" s="24" t="s">
        <v>59</v>
      </c>
      <c r="F55" s="24" cm="1">
        <f t="array" ref="F55">_xlfn.IFS(E55="18 - 24", 1, E55="25 - 34", 2, E55="35 - 44", 3, E55="45 - 54", 4)</f>
        <v>1</v>
      </c>
      <c r="G55" s="24">
        <f t="shared" si="2"/>
        <v>1</v>
      </c>
      <c r="H55" s="24">
        <f t="shared" si="3"/>
        <v>0</v>
      </c>
      <c r="I55" s="77" t="s">
        <v>81</v>
      </c>
      <c r="J55" s="24">
        <f t="shared" si="4"/>
        <v>0</v>
      </c>
      <c r="K55" s="77" t="s">
        <v>52</v>
      </c>
      <c r="L55" s="24">
        <f t="shared" si="5"/>
        <v>1</v>
      </c>
      <c r="M55" s="77" t="s">
        <v>53</v>
      </c>
      <c r="N55" s="24">
        <f t="shared" si="6"/>
        <v>1</v>
      </c>
      <c r="O55" s="14">
        <f t="shared" si="7"/>
        <v>0</v>
      </c>
      <c r="P55" s="24">
        <v>1</v>
      </c>
      <c r="Q55" s="14">
        <f t="shared" si="8"/>
        <v>1</v>
      </c>
      <c r="R55" s="14">
        <f t="shared" si="9"/>
        <v>0</v>
      </c>
      <c r="S55" s="14">
        <f t="shared" si="10"/>
        <v>1</v>
      </c>
      <c r="T55" s="14">
        <f t="shared" si="11"/>
        <v>1</v>
      </c>
    </row>
    <row r="56" spans="1:20" x14ac:dyDescent="0.35">
      <c r="A56" s="14">
        <v>53</v>
      </c>
      <c r="B56" s="24">
        <v>3</v>
      </c>
      <c r="C56" s="24">
        <f t="shared" si="0"/>
        <v>0</v>
      </c>
      <c r="D56" s="24">
        <f t="shared" si="1"/>
        <v>1</v>
      </c>
      <c r="E56" s="24" t="s">
        <v>59</v>
      </c>
      <c r="F56" s="24" cm="1">
        <f t="array" ref="F56">_xlfn.IFS(E56="18 - 24", 1, E56="25 - 34", 2, E56="35 - 44", 3, E56="45 - 54", 4)</f>
        <v>1</v>
      </c>
      <c r="G56" s="24">
        <f t="shared" si="2"/>
        <v>1</v>
      </c>
      <c r="H56" s="24">
        <f t="shared" si="3"/>
        <v>0</v>
      </c>
      <c r="I56" s="77" t="s">
        <v>81</v>
      </c>
      <c r="J56" s="24">
        <f t="shared" si="4"/>
        <v>0</v>
      </c>
      <c r="K56" s="77" t="s">
        <v>52</v>
      </c>
      <c r="L56" s="24">
        <f t="shared" si="5"/>
        <v>1</v>
      </c>
      <c r="M56" s="77" t="s">
        <v>84</v>
      </c>
      <c r="N56" s="24">
        <f t="shared" si="6"/>
        <v>0</v>
      </c>
      <c r="O56" s="14">
        <f t="shared" si="7"/>
        <v>0</v>
      </c>
      <c r="P56" s="24">
        <v>1</v>
      </c>
      <c r="Q56" s="14">
        <f t="shared" si="8"/>
        <v>1</v>
      </c>
      <c r="R56" s="14">
        <f t="shared" si="9"/>
        <v>0</v>
      </c>
      <c r="S56" s="14">
        <f t="shared" si="10"/>
        <v>0</v>
      </c>
      <c r="T56" s="14">
        <f t="shared" si="11"/>
        <v>0</v>
      </c>
    </row>
    <row r="57" spans="1:20" x14ac:dyDescent="0.35">
      <c r="A57" s="14">
        <v>54</v>
      </c>
      <c r="B57" s="24">
        <v>2</v>
      </c>
      <c r="C57" s="24">
        <f t="shared" si="0"/>
        <v>1</v>
      </c>
      <c r="D57" s="24">
        <f t="shared" si="1"/>
        <v>0</v>
      </c>
      <c r="E57" s="24" t="s">
        <v>59</v>
      </c>
      <c r="F57" s="24" cm="1">
        <f t="array" ref="F57">_xlfn.IFS(E57="18 - 24", 1, E57="25 - 34", 2, E57="35 - 44", 3, E57="45 - 54", 4)</f>
        <v>1</v>
      </c>
      <c r="G57" s="24">
        <f t="shared" si="2"/>
        <v>1</v>
      </c>
      <c r="H57" s="24">
        <f t="shared" si="3"/>
        <v>0</v>
      </c>
      <c r="I57" s="77" t="s">
        <v>81</v>
      </c>
      <c r="J57" s="24">
        <f t="shared" si="4"/>
        <v>0</v>
      </c>
      <c r="K57" s="77" t="s">
        <v>52</v>
      </c>
      <c r="L57" s="24">
        <f t="shared" si="5"/>
        <v>1</v>
      </c>
      <c r="M57" s="77" t="s">
        <v>53</v>
      </c>
      <c r="N57" s="24">
        <f t="shared" si="6"/>
        <v>1</v>
      </c>
      <c r="O57" s="14">
        <f t="shared" si="7"/>
        <v>0</v>
      </c>
      <c r="P57" s="24">
        <v>1</v>
      </c>
      <c r="Q57" s="14">
        <f t="shared" si="8"/>
        <v>1</v>
      </c>
      <c r="R57" s="14">
        <f t="shared" si="9"/>
        <v>0</v>
      </c>
      <c r="S57" s="14">
        <f t="shared" si="10"/>
        <v>1</v>
      </c>
      <c r="T57" s="14">
        <f t="shared" si="11"/>
        <v>1</v>
      </c>
    </row>
    <row r="58" spans="1:20" x14ac:dyDescent="0.35">
      <c r="A58" s="14">
        <v>55</v>
      </c>
      <c r="B58" s="24">
        <v>1</v>
      </c>
      <c r="C58" s="24">
        <f t="shared" si="0"/>
        <v>1</v>
      </c>
      <c r="D58" s="24">
        <f t="shared" si="1"/>
        <v>0</v>
      </c>
      <c r="E58" s="24" t="s">
        <v>59</v>
      </c>
      <c r="F58" s="24" cm="1">
        <f t="array" ref="F58">_xlfn.IFS(E58="18 - 24", 1, E58="25 - 34", 2, E58="35 - 44", 3, E58="45 - 54", 4)</f>
        <v>1</v>
      </c>
      <c r="G58" s="24">
        <f t="shared" si="2"/>
        <v>1</v>
      </c>
      <c r="H58" s="24">
        <f t="shared" si="3"/>
        <v>0</v>
      </c>
      <c r="I58" s="77" t="s">
        <v>81</v>
      </c>
      <c r="J58" s="24">
        <f t="shared" si="4"/>
        <v>0</v>
      </c>
      <c r="K58" s="77" t="s">
        <v>52</v>
      </c>
      <c r="L58" s="24">
        <f t="shared" si="5"/>
        <v>1</v>
      </c>
      <c r="M58" s="77" t="s">
        <v>53</v>
      </c>
      <c r="N58" s="24">
        <f t="shared" si="6"/>
        <v>1</v>
      </c>
      <c r="O58" s="14">
        <f t="shared" si="7"/>
        <v>0</v>
      </c>
      <c r="P58" s="24">
        <v>1</v>
      </c>
      <c r="Q58" s="14">
        <f t="shared" si="8"/>
        <v>1</v>
      </c>
      <c r="R58" s="14">
        <f t="shared" si="9"/>
        <v>0</v>
      </c>
      <c r="S58" s="14">
        <f t="shared" si="10"/>
        <v>1</v>
      </c>
      <c r="T58" s="14">
        <f t="shared" si="11"/>
        <v>1</v>
      </c>
    </row>
    <row r="59" spans="1:20" x14ac:dyDescent="0.35">
      <c r="A59" s="14">
        <v>56</v>
      </c>
      <c r="B59" s="24">
        <v>2</v>
      </c>
      <c r="C59" s="24">
        <f t="shared" si="0"/>
        <v>1</v>
      </c>
      <c r="D59" s="24">
        <f t="shared" si="1"/>
        <v>0</v>
      </c>
      <c r="E59" s="24" t="s">
        <v>59</v>
      </c>
      <c r="F59" s="24" cm="1">
        <f t="array" ref="F59">_xlfn.IFS(E59="18 - 24", 1, E59="25 - 34", 2, E59="35 - 44", 3, E59="45 - 54", 4)</f>
        <v>1</v>
      </c>
      <c r="G59" s="24">
        <f t="shared" si="2"/>
        <v>1</v>
      </c>
      <c r="H59" s="24">
        <f t="shared" si="3"/>
        <v>0</v>
      </c>
      <c r="I59" s="77" t="s">
        <v>81</v>
      </c>
      <c r="J59" s="24">
        <f>IF(I59= "Male",1,0)</f>
        <v>0</v>
      </c>
      <c r="K59" s="77" t="s">
        <v>52</v>
      </c>
      <c r="L59" s="24">
        <f t="shared" si="5"/>
        <v>1</v>
      </c>
      <c r="M59" s="77" t="s">
        <v>84</v>
      </c>
      <c r="N59" s="24">
        <f t="shared" si="6"/>
        <v>0</v>
      </c>
      <c r="O59" s="14">
        <f t="shared" si="7"/>
        <v>0</v>
      </c>
      <c r="P59" s="24">
        <v>2</v>
      </c>
      <c r="Q59" s="14">
        <f t="shared" si="8"/>
        <v>0</v>
      </c>
      <c r="R59" s="14">
        <f t="shared" si="9"/>
        <v>0</v>
      </c>
      <c r="S59" s="14">
        <f t="shared" si="10"/>
        <v>0</v>
      </c>
      <c r="T59" s="14">
        <f t="shared" si="11"/>
        <v>0</v>
      </c>
    </row>
  </sheetData>
  <mergeCells count="6">
    <mergeCell ref="P2:R2"/>
    <mergeCell ref="B2:D2"/>
    <mergeCell ref="E2:H2"/>
    <mergeCell ref="I2:J2"/>
    <mergeCell ref="K2:L2"/>
    <mergeCell ref="M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9F8E-CA7D-477A-9528-7D0A86847D90}">
  <dimension ref="A1:M57"/>
  <sheetViews>
    <sheetView workbookViewId="0">
      <selection activeCell="K8" sqref="K8"/>
    </sheetView>
  </sheetViews>
  <sheetFormatPr defaultRowHeight="14.5" x14ac:dyDescent="0.35"/>
  <cols>
    <col min="2" max="2" width="18.36328125" bestFit="1" customWidth="1"/>
    <col min="3" max="3" width="23.1796875" bestFit="1" customWidth="1"/>
    <col min="4" max="4" width="10" bestFit="1" customWidth="1"/>
    <col min="5" max="5" width="10.90625" bestFit="1" customWidth="1"/>
    <col min="6" max="6" width="12.26953125" bestFit="1" customWidth="1"/>
    <col min="7" max="7" width="15.90625" bestFit="1" customWidth="1"/>
    <col min="8" max="8" width="24.26953125" bestFit="1" customWidth="1"/>
    <col min="9" max="9" width="23.81640625" bestFit="1" customWidth="1"/>
    <col min="10" max="10" width="13.6328125" bestFit="1" customWidth="1"/>
    <col min="11" max="11" width="11.90625" bestFit="1" customWidth="1"/>
    <col min="12" max="12" width="20.453125" bestFit="1" customWidth="1"/>
    <col min="13" max="13" width="31.1796875" bestFit="1" customWidth="1"/>
  </cols>
  <sheetData>
    <row r="1" spans="1:13" x14ac:dyDescent="0.35">
      <c r="A1" s="84" t="s">
        <v>257</v>
      </c>
      <c r="B1" s="84" t="s">
        <v>305</v>
      </c>
      <c r="C1" s="84" t="s">
        <v>306</v>
      </c>
      <c r="D1" s="84" t="s">
        <v>303</v>
      </c>
      <c r="E1" s="84" t="s">
        <v>304</v>
      </c>
      <c r="F1" s="84" t="s">
        <v>268</v>
      </c>
      <c r="G1" s="84" t="s">
        <v>271</v>
      </c>
      <c r="H1" s="84" t="s">
        <v>301</v>
      </c>
      <c r="I1" s="84" t="s">
        <v>302</v>
      </c>
      <c r="J1" s="85" t="s">
        <v>295</v>
      </c>
      <c r="K1" s="85" t="s">
        <v>296</v>
      </c>
      <c r="L1" s="85" t="s">
        <v>297</v>
      </c>
      <c r="M1" s="84" t="s">
        <v>298</v>
      </c>
    </row>
    <row r="2" spans="1:13" x14ac:dyDescent="0.35">
      <c r="A2" s="14">
        <v>1</v>
      </c>
      <c r="B2" s="24">
        <v>1</v>
      </c>
      <c r="C2" s="24">
        <v>0</v>
      </c>
      <c r="D2" s="76">
        <v>0</v>
      </c>
      <c r="E2" s="76">
        <v>1</v>
      </c>
      <c r="F2" s="24">
        <v>1</v>
      </c>
      <c r="G2" s="24">
        <v>1</v>
      </c>
      <c r="H2" s="76">
        <v>0</v>
      </c>
      <c r="I2" s="27">
        <v>1</v>
      </c>
      <c r="J2" s="14">
        <v>1</v>
      </c>
      <c r="K2" s="14">
        <v>0</v>
      </c>
      <c r="L2" s="14">
        <v>1</v>
      </c>
      <c r="M2" s="27">
        <v>0</v>
      </c>
    </row>
    <row r="3" spans="1:13" x14ac:dyDescent="0.35">
      <c r="A3" s="14">
        <v>2</v>
      </c>
      <c r="B3" s="24">
        <v>1</v>
      </c>
      <c r="C3" s="24">
        <v>0</v>
      </c>
      <c r="D3" s="76">
        <v>1</v>
      </c>
      <c r="E3" s="76">
        <v>0</v>
      </c>
      <c r="F3" s="24">
        <v>1</v>
      </c>
      <c r="G3" s="24">
        <v>1</v>
      </c>
      <c r="H3" s="76">
        <v>1</v>
      </c>
      <c r="I3" s="27">
        <v>0</v>
      </c>
      <c r="J3" s="14">
        <v>1</v>
      </c>
      <c r="K3" s="14">
        <v>0</v>
      </c>
      <c r="L3" s="14">
        <v>1</v>
      </c>
      <c r="M3" s="27">
        <v>1</v>
      </c>
    </row>
    <row r="4" spans="1:13" x14ac:dyDescent="0.35">
      <c r="A4" s="14">
        <v>3</v>
      </c>
      <c r="B4" s="24">
        <v>1</v>
      </c>
      <c r="C4" s="24">
        <v>0</v>
      </c>
      <c r="D4" s="76">
        <v>1</v>
      </c>
      <c r="E4" s="76">
        <v>0</v>
      </c>
      <c r="F4" s="24">
        <v>1</v>
      </c>
      <c r="G4" s="24">
        <v>0</v>
      </c>
      <c r="H4" s="76">
        <v>1</v>
      </c>
      <c r="I4" s="27">
        <v>0</v>
      </c>
      <c r="J4" s="14">
        <v>1</v>
      </c>
      <c r="K4" s="14">
        <v>0</v>
      </c>
      <c r="L4" s="14">
        <v>1</v>
      </c>
      <c r="M4" s="27">
        <v>1</v>
      </c>
    </row>
    <row r="5" spans="1:13" x14ac:dyDescent="0.35">
      <c r="A5" s="14">
        <v>4</v>
      </c>
      <c r="B5" s="24">
        <v>1</v>
      </c>
      <c r="C5" s="24">
        <v>0</v>
      </c>
      <c r="D5" s="76">
        <v>0</v>
      </c>
      <c r="E5" s="76">
        <v>1</v>
      </c>
      <c r="F5" s="24">
        <v>1</v>
      </c>
      <c r="G5" s="24">
        <v>1</v>
      </c>
      <c r="H5" s="76">
        <v>1</v>
      </c>
      <c r="I5" s="27">
        <v>0</v>
      </c>
      <c r="J5" s="14">
        <v>1</v>
      </c>
      <c r="K5" s="14">
        <v>0</v>
      </c>
      <c r="L5" s="14">
        <v>1</v>
      </c>
      <c r="M5" s="27">
        <v>0</v>
      </c>
    </row>
    <row r="6" spans="1:13" x14ac:dyDescent="0.35">
      <c r="A6" s="14">
        <v>5</v>
      </c>
      <c r="B6" s="24">
        <v>1</v>
      </c>
      <c r="C6" s="24">
        <v>0</v>
      </c>
      <c r="D6" s="76">
        <v>1</v>
      </c>
      <c r="E6" s="76">
        <v>0</v>
      </c>
      <c r="F6" s="24">
        <v>1</v>
      </c>
      <c r="G6" s="24">
        <v>1</v>
      </c>
      <c r="H6" s="76">
        <v>1</v>
      </c>
      <c r="I6" s="27">
        <v>0</v>
      </c>
      <c r="J6" s="14">
        <v>1</v>
      </c>
      <c r="K6" s="14">
        <v>0</v>
      </c>
      <c r="L6" s="14">
        <v>1</v>
      </c>
      <c r="M6" s="27">
        <v>1</v>
      </c>
    </row>
    <row r="7" spans="1:13" x14ac:dyDescent="0.35">
      <c r="A7" s="14">
        <v>6</v>
      </c>
      <c r="B7" s="24">
        <v>1</v>
      </c>
      <c r="C7" s="24">
        <v>0</v>
      </c>
      <c r="D7" s="76">
        <v>1</v>
      </c>
      <c r="E7" s="76">
        <v>0</v>
      </c>
      <c r="F7" s="24">
        <v>1</v>
      </c>
      <c r="G7" s="24">
        <v>0</v>
      </c>
      <c r="H7" s="76">
        <v>1</v>
      </c>
      <c r="I7" s="27">
        <v>0</v>
      </c>
      <c r="J7" s="14">
        <v>1</v>
      </c>
      <c r="K7" s="14">
        <v>0</v>
      </c>
      <c r="L7" s="14">
        <v>1</v>
      </c>
      <c r="M7" s="27">
        <v>1</v>
      </c>
    </row>
    <row r="8" spans="1:13" x14ac:dyDescent="0.35">
      <c r="A8" s="14">
        <v>7</v>
      </c>
      <c r="B8" s="24">
        <v>1</v>
      </c>
      <c r="C8" s="24">
        <v>0</v>
      </c>
      <c r="D8" s="76">
        <v>0</v>
      </c>
      <c r="E8" s="76">
        <v>0</v>
      </c>
      <c r="F8" s="24">
        <v>0</v>
      </c>
      <c r="G8" s="24">
        <v>0</v>
      </c>
      <c r="H8" s="76">
        <v>1</v>
      </c>
      <c r="I8" s="27">
        <v>0</v>
      </c>
      <c r="J8" s="14">
        <v>1</v>
      </c>
      <c r="K8" s="14">
        <v>0</v>
      </c>
      <c r="L8" s="14">
        <v>1</v>
      </c>
      <c r="M8" s="27">
        <v>0</v>
      </c>
    </row>
    <row r="9" spans="1:13" x14ac:dyDescent="0.35">
      <c r="A9" s="14">
        <v>8</v>
      </c>
      <c r="B9" s="24">
        <v>1</v>
      </c>
      <c r="C9" s="24">
        <v>0</v>
      </c>
      <c r="D9" s="76">
        <v>0</v>
      </c>
      <c r="E9" s="76">
        <v>1</v>
      </c>
      <c r="F9" s="24">
        <v>1</v>
      </c>
      <c r="G9" s="24">
        <v>1</v>
      </c>
      <c r="H9" s="76">
        <v>1</v>
      </c>
      <c r="I9" s="27">
        <v>0</v>
      </c>
      <c r="J9" s="14">
        <v>1</v>
      </c>
      <c r="K9" s="14">
        <v>0</v>
      </c>
      <c r="L9" s="14">
        <v>1</v>
      </c>
      <c r="M9" s="27">
        <v>0</v>
      </c>
    </row>
    <row r="10" spans="1:13" x14ac:dyDescent="0.35">
      <c r="A10" s="14">
        <v>9</v>
      </c>
      <c r="B10" s="24">
        <v>0</v>
      </c>
      <c r="C10" s="24">
        <v>1</v>
      </c>
      <c r="D10" s="76">
        <v>0</v>
      </c>
      <c r="E10" s="76">
        <v>1</v>
      </c>
      <c r="F10" s="24">
        <v>1</v>
      </c>
      <c r="G10" s="24">
        <v>1</v>
      </c>
      <c r="H10" s="76">
        <v>1</v>
      </c>
      <c r="I10" s="27">
        <v>0</v>
      </c>
      <c r="J10" s="14">
        <v>0</v>
      </c>
      <c r="K10" s="14">
        <v>0</v>
      </c>
      <c r="L10" s="14">
        <v>0</v>
      </c>
      <c r="M10" s="27">
        <v>0</v>
      </c>
    </row>
    <row r="11" spans="1:13" x14ac:dyDescent="0.35">
      <c r="A11" s="14">
        <v>10</v>
      </c>
      <c r="B11" s="24">
        <v>1</v>
      </c>
      <c r="C11" s="24">
        <v>0</v>
      </c>
      <c r="D11" s="76">
        <v>0</v>
      </c>
      <c r="E11" s="76">
        <v>1</v>
      </c>
      <c r="F11" s="24">
        <v>1</v>
      </c>
      <c r="G11" s="24">
        <v>1</v>
      </c>
      <c r="H11" s="76">
        <v>0</v>
      </c>
      <c r="I11" s="27">
        <v>0</v>
      </c>
      <c r="J11" s="14">
        <v>1</v>
      </c>
      <c r="K11" s="14">
        <v>0</v>
      </c>
      <c r="L11" s="14">
        <v>1</v>
      </c>
      <c r="M11" s="27">
        <v>0</v>
      </c>
    </row>
    <row r="12" spans="1:13" x14ac:dyDescent="0.35">
      <c r="A12" s="14">
        <v>11</v>
      </c>
      <c r="B12" s="24">
        <v>1</v>
      </c>
      <c r="C12" s="24">
        <v>0</v>
      </c>
      <c r="D12" s="76">
        <v>1</v>
      </c>
      <c r="E12" s="76">
        <v>0</v>
      </c>
      <c r="F12" s="24">
        <v>1</v>
      </c>
      <c r="G12" s="24">
        <v>1</v>
      </c>
      <c r="H12" s="76">
        <v>1</v>
      </c>
      <c r="I12" s="27">
        <v>0</v>
      </c>
      <c r="J12" s="14">
        <v>1</v>
      </c>
      <c r="K12" s="14">
        <v>0</v>
      </c>
      <c r="L12" s="14">
        <v>1</v>
      </c>
      <c r="M12" s="27">
        <v>1</v>
      </c>
    </row>
    <row r="13" spans="1:13" x14ac:dyDescent="0.35">
      <c r="A13" s="14">
        <v>12</v>
      </c>
      <c r="B13" s="24">
        <v>0</v>
      </c>
      <c r="C13" s="24">
        <v>1</v>
      </c>
      <c r="D13" s="76">
        <v>0</v>
      </c>
      <c r="E13" s="76">
        <v>1</v>
      </c>
      <c r="F13" s="24">
        <v>1</v>
      </c>
      <c r="G13" s="24">
        <v>1</v>
      </c>
      <c r="H13" s="76">
        <v>1</v>
      </c>
      <c r="I13" s="27">
        <v>0</v>
      </c>
      <c r="J13" s="14">
        <v>0</v>
      </c>
      <c r="K13" s="14">
        <v>1</v>
      </c>
      <c r="L13" s="14">
        <v>0</v>
      </c>
      <c r="M13" s="27">
        <v>0</v>
      </c>
    </row>
    <row r="14" spans="1:13" x14ac:dyDescent="0.35">
      <c r="A14" s="14">
        <v>13</v>
      </c>
      <c r="B14" s="24">
        <v>0</v>
      </c>
      <c r="C14" s="24">
        <v>1</v>
      </c>
      <c r="D14" s="76">
        <v>1</v>
      </c>
      <c r="E14" s="76">
        <v>0</v>
      </c>
      <c r="F14" s="24">
        <v>1</v>
      </c>
      <c r="G14" s="24">
        <v>1</v>
      </c>
      <c r="H14" s="76">
        <v>1</v>
      </c>
      <c r="I14" s="27">
        <v>0</v>
      </c>
      <c r="J14" s="14">
        <v>0</v>
      </c>
      <c r="K14" s="14">
        <v>1</v>
      </c>
      <c r="L14" s="14">
        <v>0</v>
      </c>
      <c r="M14" s="27">
        <v>1</v>
      </c>
    </row>
    <row r="15" spans="1:13" x14ac:dyDescent="0.35">
      <c r="A15" s="14">
        <v>14</v>
      </c>
      <c r="B15" s="24">
        <v>0</v>
      </c>
      <c r="C15" s="24">
        <v>1</v>
      </c>
      <c r="D15" s="76">
        <v>0</v>
      </c>
      <c r="E15" s="76">
        <v>1</v>
      </c>
      <c r="F15" s="24">
        <v>1</v>
      </c>
      <c r="G15" s="24">
        <v>1</v>
      </c>
      <c r="H15" s="76">
        <v>1</v>
      </c>
      <c r="I15" s="27">
        <v>0</v>
      </c>
      <c r="J15" s="14">
        <v>0</v>
      </c>
      <c r="K15" s="14">
        <v>0</v>
      </c>
      <c r="L15" s="14">
        <v>0</v>
      </c>
      <c r="M15" s="27">
        <v>0</v>
      </c>
    </row>
    <row r="16" spans="1:13" x14ac:dyDescent="0.35">
      <c r="A16" s="14">
        <v>15</v>
      </c>
      <c r="B16" s="24">
        <v>0</v>
      </c>
      <c r="C16" s="24">
        <v>1</v>
      </c>
      <c r="D16" s="76">
        <v>1</v>
      </c>
      <c r="E16" s="76">
        <v>0</v>
      </c>
      <c r="F16" s="24">
        <v>1</v>
      </c>
      <c r="G16" s="24">
        <v>1</v>
      </c>
      <c r="H16" s="76">
        <v>1</v>
      </c>
      <c r="I16" s="27">
        <v>0</v>
      </c>
      <c r="J16" s="14">
        <v>0</v>
      </c>
      <c r="K16" s="14">
        <v>1</v>
      </c>
      <c r="L16" s="14">
        <v>0</v>
      </c>
      <c r="M16" s="27">
        <v>1</v>
      </c>
    </row>
    <row r="17" spans="1:13" x14ac:dyDescent="0.35">
      <c r="A17" s="14">
        <v>16</v>
      </c>
      <c r="B17" s="24">
        <v>1</v>
      </c>
      <c r="C17" s="24">
        <v>0</v>
      </c>
      <c r="D17" s="76">
        <v>0</v>
      </c>
      <c r="E17" s="76">
        <v>1</v>
      </c>
      <c r="F17" s="24">
        <v>1</v>
      </c>
      <c r="G17" s="24">
        <v>1</v>
      </c>
      <c r="H17" s="76">
        <v>1</v>
      </c>
      <c r="I17" s="27">
        <v>0</v>
      </c>
      <c r="J17" s="14">
        <v>0</v>
      </c>
      <c r="K17" s="14">
        <v>0</v>
      </c>
      <c r="L17" s="14">
        <v>0</v>
      </c>
      <c r="M17" s="27">
        <v>0</v>
      </c>
    </row>
    <row r="18" spans="1:13" x14ac:dyDescent="0.35">
      <c r="A18" s="14">
        <v>17</v>
      </c>
      <c r="B18" s="24">
        <v>0</v>
      </c>
      <c r="C18" s="24">
        <v>1</v>
      </c>
      <c r="D18" s="76">
        <v>1</v>
      </c>
      <c r="E18" s="76">
        <v>0</v>
      </c>
      <c r="F18" s="24">
        <v>1</v>
      </c>
      <c r="G18" s="24">
        <v>1</v>
      </c>
      <c r="H18" s="76">
        <v>1</v>
      </c>
      <c r="I18" s="27">
        <v>0</v>
      </c>
      <c r="J18" s="14">
        <v>0</v>
      </c>
      <c r="K18" s="14">
        <v>0</v>
      </c>
      <c r="L18" s="14">
        <v>0</v>
      </c>
      <c r="M18" s="27">
        <v>1</v>
      </c>
    </row>
    <row r="19" spans="1:13" x14ac:dyDescent="0.35">
      <c r="A19" s="14">
        <v>18</v>
      </c>
      <c r="B19" s="24">
        <v>0</v>
      </c>
      <c r="C19" s="24">
        <v>1</v>
      </c>
      <c r="D19" s="76">
        <v>0</v>
      </c>
      <c r="E19" s="76">
        <v>1</v>
      </c>
      <c r="F19" s="24">
        <v>1</v>
      </c>
      <c r="G19" s="24">
        <v>1</v>
      </c>
      <c r="H19" s="76">
        <v>1</v>
      </c>
      <c r="I19" s="27">
        <v>0</v>
      </c>
      <c r="J19" s="14">
        <v>1</v>
      </c>
      <c r="K19" s="14">
        <v>0</v>
      </c>
      <c r="L19" s="14">
        <v>0</v>
      </c>
      <c r="M19" s="27">
        <v>0</v>
      </c>
    </row>
    <row r="20" spans="1:13" x14ac:dyDescent="0.35">
      <c r="A20" s="14">
        <v>19</v>
      </c>
      <c r="B20" s="24">
        <v>0</v>
      </c>
      <c r="C20" s="24">
        <v>1</v>
      </c>
      <c r="D20" s="76">
        <v>1</v>
      </c>
      <c r="E20" s="76">
        <v>0</v>
      </c>
      <c r="F20" s="24">
        <v>1</v>
      </c>
      <c r="G20" s="24">
        <v>1</v>
      </c>
      <c r="H20" s="76">
        <v>1</v>
      </c>
      <c r="I20" s="27">
        <v>0</v>
      </c>
      <c r="J20" s="14">
        <v>1</v>
      </c>
      <c r="K20" s="14">
        <v>0</v>
      </c>
      <c r="L20" s="14">
        <v>0</v>
      </c>
      <c r="M20" s="27">
        <v>1</v>
      </c>
    </row>
    <row r="21" spans="1:13" x14ac:dyDescent="0.35">
      <c r="A21" s="14">
        <v>20</v>
      </c>
      <c r="B21" s="24">
        <v>0</v>
      </c>
      <c r="C21" s="24">
        <v>1</v>
      </c>
      <c r="D21" s="76">
        <v>1</v>
      </c>
      <c r="E21" s="76">
        <v>0</v>
      </c>
      <c r="F21" s="24">
        <v>1</v>
      </c>
      <c r="G21" s="24">
        <v>1</v>
      </c>
      <c r="H21" s="76">
        <v>1</v>
      </c>
      <c r="I21" s="27">
        <v>0</v>
      </c>
      <c r="J21" s="14">
        <v>0</v>
      </c>
      <c r="K21" s="14">
        <v>0</v>
      </c>
      <c r="L21" s="14">
        <v>0</v>
      </c>
      <c r="M21" s="27">
        <v>1</v>
      </c>
    </row>
    <row r="22" spans="1:13" x14ac:dyDescent="0.35">
      <c r="A22" s="14">
        <v>21</v>
      </c>
      <c r="B22" s="24">
        <v>1</v>
      </c>
      <c r="C22" s="24">
        <v>0</v>
      </c>
      <c r="D22" s="76">
        <v>0</v>
      </c>
      <c r="E22" s="76">
        <v>1</v>
      </c>
      <c r="F22" s="24">
        <v>1</v>
      </c>
      <c r="G22" s="24">
        <v>1</v>
      </c>
      <c r="H22" s="76">
        <v>1</v>
      </c>
      <c r="I22" s="27">
        <v>0</v>
      </c>
      <c r="J22" s="14">
        <v>0</v>
      </c>
      <c r="K22" s="14">
        <v>0</v>
      </c>
      <c r="L22" s="14">
        <v>0</v>
      </c>
      <c r="M22" s="27">
        <v>0</v>
      </c>
    </row>
    <row r="23" spans="1:13" x14ac:dyDescent="0.35">
      <c r="A23" s="14">
        <v>22</v>
      </c>
      <c r="B23" s="24">
        <v>1</v>
      </c>
      <c r="C23" s="24">
        <v>0</v>
      </c>
      <c r="D23" s="76">
        <v>1</v>
      </c>
      <c r="E23" s="76">
        <v>0</v>
      </c>
      <c r="F23" s="24">
        <v>1</v>
      </c>
      <c r="G23" s="24">
        <v>1</v>
      </c>
      <c r="H23" s="76">
        <v>1</v>
      </c>
      <c r="I23" s="27">
        <v>0</v>
      </c>
      <c r="J23" s="14">
        <v>0</v>
      </c>
      <c r="K23" s="14">
        <v>1</v>
      </c>
      <c r="L23" s="14">
        <v>0</v>
      </c>
      <c r="M23" s="27">
        <v>1</v>
      </c>
    </row>
    <row r="24" spans="1:13" x14ac:dyDescent="0.35">
      <c r="A24" s="14">
        <v>23</v>
      </c>
      <c r="B24" s="24">
        <v>1</v>
      </c>
      <c r="C24" s="24">
        <v>0</v>
      </c>
      <c r="D24" s="76">
        <v>0</v>
      </c>
      <c r="E24" s="76">
        <v>1</v>
      </c>
      <c r="F24" s="24">
        <v>1</v>
      </c>
      <c r="G24" s="24">
        <v>0</v>
      </c>
      <c r="H24" s="76">
        <v>1</v>
      </c>
      <c r="I24" s="27">
        <v>0</v>
      </c>
      <c r="J24" s="14">
        <v>1</v>
      </c>
      <c r="K24" s="14">
        <v>0</v>
      </c>
      <c r="L24" s="14">
        <v>1</v>
      </c>
      <c r="M24" s="27">
        <v>0</v>
      </c>
    </row>
    <row r="25" spans="1:13" x14ac:dyDescent="0.35">
      <c r="A25" s="14">
        <v>24</v>
      </c>
      <c r="B25" s="24">
        <v>1</v>
      </c>
      <c r="C25" s="24">
        <v>0</v>
      </c>
      <c r="D25" s="76">
        <v>0</v>
      </c>
      <c r="E25" s="76">
        <v>0</v>
      </c>
      <c r="F25" s="24">
        <v>1</v>
      </c>
      <c r="G25" s="24">
        <v>0</v>
      </c>
      <c r="H25" s="76">
        <v>1</v>
      </c>
      <c r="I25" s="27">
        <v>0</v>
      </c>
      <c r="J25" s="14">
        <v>1</v>
      </c>
      <c r="K25" s="14">
        <v>0</v>
      </c>
      <c r="L25" s="14">
        <v>1</v>
      </c>
      <c r="M25" s="27">
        <v>0</v>
      </c>
    </row>
    <row r="26" spans="1:13" x14ac:dyDescent="0.35">
      <c r="A26" s="14">
        <v>25</v>
      </c>
      <c r="B26" s="24">
        <v>1</v>
      </c>
      <c r="C26" s="24">
        <v>0</v>
      </c>
      <c r="D26" s="76">
        <v>1</v>
      </c>
      <c r="E26" s="76">
        <v>0</v>
      </c>
      <c r="F26" s="24">
        <v>1</v>
      </c>
      <c r="G26" s="24">
        <v>1</v>
      </c>
      <c r="H26" s="76">
        <v>1</v>
      </c>
      <c r="I26" s="27">
        <v>0</v>
      </c>
      <c r="J26" s="14">
        <v>1</v>
      </c>
      <c r="K26" s="14">
        <v>0</v>
      </c>
      <c r="L26" s="14">
        <v>1</v>
      </c>
      <c r="M26" s="27">
        <v>1</v>
      </c>
    </row>
    <row r="27" spans="1:13" x14ac:dyDescent="0.35">
      <c r="A27" s="14">
        <v>26</v>
      </c>
      <c r="B27" s="24">
        <v>0</v>
      </c>
      <c r="C27" s="24">
        <v>1</v>
      </c>
      <c r="D27" s="76">
        <v>0</v>
      </c>
      <c r="E27" s="76">
        <v>1</v>
      </c>
      <c r="F27" s="24">
        <v>1</v>
      </c>
      <c r="G27" s="24">
        <v>0</v>
      </c>
      <c r="H27" s="76">
        <v>1</v>
      </c>
      <c r="I27" s="27">
        <v>0</v>
      </c>
      <c r="J27" s="14">
        <v>0</v>
      </c>
      <c r="K27" s="14">
        <v>0</v>
      </c>
      <c r="L27" s="14">
        <v>0</v>
      </c>
      <c r="M27" s="27">
        <v>0</v>
      </c>
    </row>
    <row r="28" spans="1:13" x14ac:dyDescent="0.35">
      <c r="A28" s="14">
        <v>27</v>
      </c>
      <c r="B28" s="24">
        <v>0</v>
      </c>
      <c r="C28" s="24">
        <v>1</v>
      </c>
      <c r="D28" s="76">
        <v>1</v>
      </c>
      <c r="E28" s="76">
        <v>0</v>
      </c>
      <c r="F28" s="24">
        <v>1</v>
      </c>
      <c r="G28" s="24">
        <v>1</v>
      </c>
      <c r="H28" s="76">
        <v>1</v>
      </c>
      <c r="I28" s="27">
        <v>0</v>
      </c>
      <c r="J28" s="14">
        <v>0</v>
      </c>
      <c r="K28" s="14">
        <v>0</v>
      </c>
      <c r="L28" s="14">
        <v>0</v>
      </c>
      <c r="M28" s="27">
        <v>1</v>
      </c>
    </row>
    <row r="29" spans="1:13" x14ac:dyDescent="0.35">
      <c r="A29" s="14">
        <v>28</v>
      </c>
      <c r="B29" s="24">
        <v>0</v>
      </c>
      <c r="C29" s="24">
        <v>1</v>
      </c>
      <c r="D29" s="76">
        <v>0</v>
      </c>
      <c r="E29" s="76">
        <v>1</v>
      </c>
      <c r="F29" s="24">
        <v>0</v>
      </c>
      <c r="G29" s="24">
        <v>1</v>
      </c>
      <c r="H29" s="76">
        <v>1</v>
      </c>
      <c r="I29" s="27">
        <v>0</v>
      </c>
      <c r="J29" s="14">
        <v>1</v>
      </c>
      <c r="K29" s="14">
        <v>0</v>
      </c>
      <c r="L29" s="14">
        <v>0</v>
      </c>
      <c r="M29" s="27">
        <v>0</v>
      </c>
    </row>
    <row r="30" spans="1:13" x14ac:dyDescent="0.35">
      <c r="A30" s="14">
        <v>29</v>
      </c>
      <c r="B30" s="24">
        <v>0</v>
      </c>
      <c r="C30" s="24">
        <v>1</v>
      </c>
      <c r="D30" s="76">
        <v>1</v>
      </c>
      <c r="E30" s="76">
        <v>0</v>
      </c>
      <c r="F30" s="24">
        <v>0</v>
      </c>
      <c r="G30" s="24">
        <v>1</v>
      </c>
      <c r="H30" s="76">
        <v>1</v>
      </c>
      <c r="I30" s="27">
        <v>0</v>
      </c>
      <c r="J30" s="14">
        <v>0</v>
      </c>
      <c r="K30" s="14">
        <v>1</v>
      </c>
      <c r="L30" s="14">
        <v>0</v>
      </c>
      <c r="M30" s="27">
        <v>1</v>
      </c>
    </row>
    <row r="31" spans="1:13" x14ac:dyDescent="0.35">
      <c r="A31" s="14">
        <v>30</v>
      </c>
      <c r="B31" s="24">
        <v>0</v>
      </c>
      <c r="C31" s="24">
        <v>1</v>
      </c>
      <c r="D31" s="76">
        <v>0</v>
      </c>
      <c r="E31" s="76">
        <v>1</v>
      </c>
      <c r="F31" s="24">
        <v>1</v>
      </c>
      <c r="G31" s="24">
        <v>1</v>
      </c>
      <c r="H31" s="76">
        <v>1</v>
      </c>
      <c r="I31" s="27">
        <v>0</v>
      </c>
      <c r="J31" s="14">
        <v>1</v>
      </c>
      <c r="K31" s="14">
        <v>0</v>
      </c>
      <c r="L31" s="14">
        <v>0</v>
      </c>
      <c r="M31" s="27">
        <v>0</v>
      </c>
    </row>
    <row r="32" spans="1:13" x14ac:dyDescent="0.35">
      <c r="A32" s="14">
        <v>31</v>
      </c>
      <c r="B32" s="24">
        <v>0</v>
      </c>
      <c r="C32" s="24">
        <v>1</v>
      </c>
      <c r="D32" s="76">
        <v>1</v>
      </c>
      <c r="E32" s="76">
        <v>0</v>
      </c>
      <c r="F32" s="24">
        <v>0</v>
      </c>
      <c r="G32" s="24">
        <v>1</v>
      </c>
      <c r="H32" s="76">
        <v>1</v>
      </c>
      <c r="I32" s="27">
        <v>0</v>
      </c>
      <c r="J32" s="14">
        <v>0</v>
      </c>
      <c r="K32" s="14">
        <v>0</v>
      </c>
      <c r="L32" s="14">
        <v>0</v>
      </c>
      <c r="M32" s="27">
        <v>1</v>
      </c>
    </row>
    <row r="33" spans="1:13" x14ac:dyDescent="0.35">
      <c r="A33" s="14">
        <v>32</v>
      </c>
      <c r="B33" s="24">
        <v>1</v>
      </c>
      <c r="C33" s="24">
        <v>0</v>
      </c>
      <c r="D33" s="76">
        <v>1</v>
      </c>
      <c r="E33" s="76">
        <v>0</v>
      </c>
      <c r="F33" s="24">
        <v>0</v>
      </c>
      <c r="G33" s="24">
        <v>1</v>
      </c>
      <c r="H33" s="76">
        <v>1</v>
      </c>
      <c r="I33" s="27">
        <v>0</v>
      </c>
      <c r="J33" s="14">
        <v>0</v>
      </c>
      <c r="K33" s="14">
        <v>0</v>
      </c>
      <c r="L33" s="14">
        <v>0</v>
      </c>
      <c r="M33" s="27">
        <v>1</v>
      </c>
    </row>
    <row r="34" spans="1:13" x14ac:dyDescent="0.35">
      <c r="A34" s="14">
        <v>33</v>
      </c>
      <c r="B34" s="24">
        <v>1</v>
      </c>
      <c r="C34" s="24">
        <v>0</v>
      </c>
      <c r="D34" s="76">
        <v>0</v>
      </c>
      <c r="E34" s="76">
        <v>1</v>
      </c>
      <c r="F34" s="24">
        <v>1</v>
      </c>
      <c r="G34" s="24">
        <v>1</v>
      </c>
      <c r="H34" s="76">
        <v>1</v>
      </c>
      <c r="I34" s="27">
        <v>0</v>
      </c>
      <c r="J34" s="14">
        <v>1</v>
      </c>
      <c r="K34" s="14">
        <v>0</v>
      </c>
      <c r="L34" s="14">
        <v>1</v>
      </c>
      <c r="M34" s="27">
        <v>0</v>
      </c>
    </row>
    <row r="35" spans="1:13" x14ac:dyDescent="0.35">
      <c r="A35" s="14">
        <v>34</v>
      </c>
      <c r="B35" s="24">
        <v>1</v>
      </c>
      <c r="C35" s="24">
        <v>0</v>
      </c>
      <c r="D35" s="76">
        <v>1</v>
      </c>
      <c r="E35" s="76">
        <v>0</v>
      </c>
      <c r="F35" s="24">
        <v>1</v>
      </c>
      <c r="G35" s="24">
        <v>1</v>
      </c>
      <c r="H35" s="76">
        <v>1</v>
      </c>
      <c r="I35" s="27">
        <v>0</v>
      </c>
      <c r="J35" s="14">
        <v>1</v>
      </c>
      <c r="K35" s="14">
        <v>0</v>
      </c>
      <c r="L35" s="14">
        <v>1</v>
      </c>
      <c r="M35" s="27">
        <v>1</v>
      </c>
    </row>
    <row r="36" spans="1:13" x14ac:dyDescent="0.35">
      <c r="A36" s="14">
        <v>35</v>
      </c>
      <c r="B36" s="24">
        <v>1</v>
      </c>
      <c r="C36" s="24">
        <v>0</v>
      </c>
      <c r="D36" s="76">
        <v>0</v>
      </c>
      <c r="E36" s="76">
        <v>1</v>
      </c>
      <c r="F36" s="24">
        <v>0</v>
      </c>
      <c r="G36" s="24">
        <v>1</v>
      </c>
      <c r="H36" s="76">
        <v>1</v>
      </c>
      <c r="I36" s="27">
        <v>0</v>
      </c>
      <c r="J36" s="14">
        <v>1</v>
      </c>
      <c r="K36" s="14">
        <v>0</v>
      </c>
      <c r="L36" s="14">
        <v>1</v>
      </c>
      <c r="M36" s="27">
        <v>0</v>
      </c>
    </row>
    <row r="37" spans="1:13" x14ac:dyDescent="0.35">
      <c r="A37" s="14">
        <v>36</v>
      </c>
      <c r="B37" s="24">
        <v>0</v>
      </c>
      <c r="C37" s="24">
        <v>1</v>
      </c>
      <c r="D37" s="76">
        <v>1</v>
      </c>
      <c r="E37" s="76">
        <v>0</v>
      </c>
      <c r="F37" s="24">
        <v>1</v>
      </c>
      <c r="G37" s="24">
        <v>1</v>
      </c>
      <c r="H37" s="76">
        <v>1</v>
      </c>
      <c r="I37" s="27">
        <v>0</v>
      </c>
      <c r="J37" s="14">
        <v>0</v>
      </c>
      <c r="K37" s="14">
        <v>1</v>
      </c>
      <c r="L37" s="14">
        <v>0</v>
      </c>
      <c r="M37" s="27">
        <v>1</v>
      </c>
    </row>
    <row r="38" spans="1:13" x14ac:dyDescent="0.35">
      <c r="A38" s="14">
        <v>37</v>
      </c>
      <c r="B38" s="24">
        <v>1</v>
      </c>
      <c r="C38" s="24">
        <v>0</v>
      </c>
      <c r="D38" s="76">
        <v>1</v>
      </c>
      <c r="E38" s="76">
        <v>0</v>
      </c>
      <c r="F38" s="24">
        <v>1</v>
      </c>
      <c r="G38" s="24">
        <v>1</v>
      </c>
      <c r="H38" s="76">
        <v>1</v>
      </c>
      <c r="I38" s="27">
        <v>0</v>
      </c>
      <c r="J38" s="14">
        <v>1</v>
      </c>
      <c r="K38" s="14">
        <v>0</v>
      </c>
      <c r="L38" s="14">
        <v>1</v>
      </c>
      <c r="M38" s="27">
        <v>1</v>
      </c>
    </row>
    <row r="39" spans="1:13" x14ac:dyDescent="0.35">
      <c r="A39" s="14">
        <v>38</v>
      </c>
      <c r="B39" s="24">
        <v>0</v>
      </c>
      <c r="C39" s="24">
        <v>1</v>
      </c>
      <c r="D39" s="76">
        <v>1</v>
      </c>
      <c r="E39" s="76">
        <v>0</v>
      </c>
      <c r="F39" s="24">
        <v>0</v>
      </c>
      <c r="G39" s="24">
        <v>1</v>
      </c>
      <c r="H39" s="76">
        <v>1</v>
      </c>
      <c r="I39" s="27">
        <v>0</v>
      </c>
      <c r="J39" s="14">
        <v>1</v>
      </c>
      <c r="K39" s="14">
        <v>0</v>
      </c>
      <c r="L39" s="14">
        <v>0</v>
      </c>
      <c r="M39" s="27">
        <v>1</v>
      </c>
    </row>
    <row r="40" spans="1:13" x14ac:dyDescent="0.35">
      <c r="A40" s="14">
        <v>39</v>
      </c>
      <c r="B40" s="24">
        <v>1</v>
      </c>
      <c r="C40" s="24">
        <v>0</v>
      </c>
      <c r="D40" s="76">
        <v>1</v>
      </c>
      <c r="E40" s="76">
        <v>0</v>
      </c>
      <c r="F40" s="24">
        <v>0</v>
      </c>
      <c r="G40" s="24">
        <v>1</v>
      </c>
      <c r="H40" s="76">
        <v>1</v>
      </c>
      <c r="I40" s="27">
        <v>0</v>
      </c>
      <c r="J40" s="14">
        <v>0</v>
      </c>
      <c r="K40" s="14">
        <v>0</v>
      </c>
      <c r="L40" s="14">
        <v>0</v>
      </c>
      <c r="M40" s="27">
        <v>1</v>
      </c>
    </row>
    <row r="41" spans="1:13" x14ac:dyDescent="0.35">
      <c r="A41" s="14">
        <v>40</v>
      </c>
      <c r="B41" s="24">
        <v>1</v>
      </c>
      <c r="C41" s="24">
        <v>0</v>
      </c>
      <c r="D41" s="76">
        <v>0</v>
      </c>
      <c r="E41" s="76">
        <v>1</v>
      </c>
      <c r="F41" s="24">
        <v>1</v>
      </c>
      <c r="G41" s="24">
        <v>0</v>
      </c>
      <c r="H41" s="76">
        <v>1</v>
      </c>
      <c r="I41" s="27">
        <v>0</v>
      </c>
      <c r="J41" s="14">
        <v>1</v>
      </c>
      <c r="K41" s="14">
        <v>0</v>
      </c>
      <c r="L41" s="14">
        <v>1</v>
      </c>
      <c r="M41" s="27">
        <v>0</v>
      </c>
    </row>
    <row r="42" spans="1:13" x14ac:dyDescent="0.35">
      <c r="A42" s="14">
        <v>41</v>
      </c>
      <c r="B42" s="24">
        <v>1</v>
      </c>
      <c r="C42" s="24">
        <v>0</v>
      </c>
      <c r="D42" s="76">
        <v>0</v>
      </c>
      <c r="E42" s="76">
        <v>1</v>
      </c>
      <c r="F42" s="24">
        <v>1</v>
      </c>
      <c r="G42" s="24">
        <v>0</v>
      </c>
      <c r="H42" s="76">
        <v>0</v>
      </c>
      <c r="I42" s="27">
        <v>1</v>
      </c>
      <c r="J42" s="14">
        <v>1</v>
      </c>
      <c r="K42" s="14">
        <v>0</v>
      </c>
      <c r="L42" s="14">
        <v>1</v>
      </c>
      <c r="M42" s="27">
        <v>0</v>
      </c>
    </row>
    <row r="43" spans="1:13" x14ac:dyDescent="0.35">
      <c r="A43" s="14">
        <v>42</v>
      </c>
      <c r="B43" s="24">
        <v>1</v>
      </c>
      <c r="C43" s="24">
        <v>0</v>
      </c>
      <c r="D43" s="76">
        <v>1</v>
      </c>
      <c r="E43" s="76">
        <v>0</v>
      </c>
      <c r="F43" s="24">
        <v>0</v>
      </c>
      <c r="G43" s="24">
        <v>0</v>
      </c>
      <c r="H43" s="76">
        <v>1</v>
      </c>
      <c r="I43" s="27">
        <v>0</v>
      </c>
      <c r="J43" s="14">
        <v>1</v>
      </c>
      <c r="K43" s="14">
        <v>0</v>
      </c>
      <c r="L43" s="14">
        <v>1</v>
      </c>
      <c r="M43" s="27">
        <v>1</v>
      </c>
    </row>
    <row r="44" spans="1:13" x14ac:dyDescent="0.35">
      <c r="A44" s="14">
        <v>43</v>
      </c>
      <c r="B44" s="24">
        <v>1</v>
      </c>
      <c r="C44" s="24">
        <v>0</v>
      </c>
      <c r="D44" s="76">
        <v>1</v>
      </c>
      <c r="E44" s="76">
        <v>0</v>
      </c>
      <c r="F44" s="24">
        <v>0</v>
      </c>
      <c r="G44" s="24">
        <v>1</v>
      </c>
      <c r="H44" s="76">
        <v>1</v>
      </c>
      <c r="I44" s="27">
        <v>0</v>
      </c>
      <c r="J44" s="14">
        <v>0</v>
      </c>
      <c r="K44" s="14">
        <v>0</v>
      </c>
      <c r="L44" s="14">
        <v>0</v>
      </c>
      <c r="M44" s="27">
        <v>1</v>
      </c>
    </row>
    <row r="45" spans="1:13" x14ac:dyDescent="0.35">
      <c r="A45" s="14">
        <v>44</v>
      </c>
      <c r="B45" s="24">
        <v>0</v>
      </c>
      <c r="C45" s="24">
        <v>1</v>
      </c>
      <c r="D45" s="76">
        <v>1</v>
      </c>
      <c r="E45" s="76">
        <v>0</v>
      </c>
      <c r="F45" s="24">
        <v>1</v>
      </c>
      <c r="G45" s="24">
        <v>0</v>
      </c>
      <c r="H45" s="76">
        <v>1</v>
      </c>
      <c r="I45" s="27">
        <v>0</v>
      </c>
      <c r="J45" s="14">
        <v>1</v>
      </c>
      <c r="K45" s="14">
        <v>0</v>
      </c>
      <c r="L45" s="14">
        <v>0</v>
      </c>
      <c r="M45" s="27">
        <v>1</v>
      </c>
    </row>
    <row r="46" spans="1:13" x14ac:dyDescent="0.35">
      <c r="A46" s="14">
        <v>45</v>
      </c>
      <c r="B46" s="24">
        <v>1</v>
      </c>
      <c r="C46" s="24">
        <v>0</v>
      </c>
      <c r="D46" s="76">
        <v>0</v>
      </c>
      <c r="E46" s="76">
        <v>0</v>
      </c>
      <c r="F46" s="24">
        <v>0</v>
      </c>
      <c r="G46" s="24">
        <v>0</v>
      </c>
      <c r="H46" s="76">
        <v>1</v>
      </c>
      <c r="I46" s="27">
        <v>0</v>
      </c>
      <c r="J46" s="14">
        <v>0</v>
      </c>
      <c r="K46" s="14">
        <v>1</v>
      </c>
      <c r="L46" s="14">
        <v>0</v>
      </c>
      <c r="M46" s="27">
        <v>0</v>
      </c>
    </row>
    <row r="47" spans="1:13" x14ac:dyDescent="0.35">
      <c r="A47" s="14">
        <v>46</v>
      </c>
      <c r="B47" s="24">
        <v>1</v>
      </c>
      <c r="C47" s="24">
        <v>0</v>
      </c>
      <c r="D47" s="76">
        <v>0</v>
      </c>
      <c r="E47" s="76">
        <v>1</v>
      </c>
      <c r="F47" s="24">
        <v>1</v>
      </c>
      <c r="G47" s="24">
        <v>1</v>
      </c>
      <c r="H47" s="76">
        <v>1</v>
      </c>
      <c r="I47" s="27">
        <v>0</v>
      </c>
      <c r="J47" s="14">
        <v>1</v>
      </c>
      <c r="K47" s="14">
        <v>0</v>
      </c>
      <c r="L47" s="14">
        <v>1</v>
      </c>
      <c r="M47" s="27">
        <v>0</v>
      </c>
    </row>
    <row r="48" spans="1:13" x14ac:dyDescent="0.35">
      <c r="A48" s="14">
        <v>47</v>
      </c>
      <c r="B48" s="24">
        <v>0</v>
      </c>
      <c r="C48" s="24">
        <v>1</v>
      </c>
      <c r="D48" s="76">
        <v>1</v>
      </c>
      <c r="E48" s="76">
        <v>0</v>
      </c>
      <c r="F48" s="24">
        <v>0</v>
      </c>
      <c r="G48" s="24">
        <v>1</v>
      </c>
      <c r="H48" s="76">
        <v>1</v>
      </c>
      <c r="I48" s="27">
        <v>0</v>
      </c>
      <c r="J48" s="14">
        <v>1</v>
      </c>
      <c r="K48" s="14">
        <v>0</v>
      </c>
      <c r="L48" s="14">
        <v>0</v>
      </c>
      <c r="M48" s="27">
        <v>1</v>
      </c>
    </row>
    <row r="49" spans="1:13" x14ac:dyDescent="0.35">
      <c r="A49" s="14">
        <v>48</v>
      </c>
      <c r="B49" s="24">
        <v>0</v>
      </c>
      <c r="C49" s="24">
        <v>1</v>
      </c>
      <c r="D49" s="76">
        <v>1</v>
      </c>
      <c r="E49" s="76">
        <v>0</v>
      </c>
      <c r="F49" s="24">
        <v>0</v>
      </c>
      <c r="G49" s="24">
        <v>1</v>
      </c>
      <c r="H49" s="76">
        <v>1</v>
      </c>
      <c r="I49" s="27">
        <v>0</v>
      </c>
      <c r="J49" s="14">
        <v>1</v>
      </c>
      <c r="K49" s="14">
        <v>0</v>
      </c>
      <c r="L49" s="14">
        <v>0</v>
      </c>
      <c r="M49" s="27">
        <v>1</v>
      </c>
    </row>
    <row r="50" spans="1:13" x14ac:dyDescent="0.35">
      <c r="A50" s="14">
        <v>49</v>
      </c>
      <c r="B50" s="24">
        <v>1</v>
      </c>
      <c r="C50" s="24">
        <v>0</v>
      </c>
      <c r="D50" s="76">
        <v>1</v>
      </c>
      <c r="E50" s="76">
        <v>0</v>
      </c>
      <c r="F50" s="24">
        <v>0</v>
      </c>
      <c r="G50" s="24">
        <v>1</v>
      </c>
      <c r="H50" s="76">
        <v>1</v>
      </c>
      <c r="I50" s="27">
        <v>0</v>
      </c>
      <c r="J50" s="14">
        <v>1</v>
      </c>
      <c r="K50" s="14">
        <v>0</v>
      </c>
      <c r="L50" s="14">
        <v>1</v>
      </c>
      <c r="M50" s="27">
        <v>1</v>
      </c>
    </row>
    <row r="51" spans="1:13" x14ac:dyDescent="0.35">
      <c r="A51" s="14">
        <v>50</v>
      </c>
      <c r="B51" s="24">
        <v>0</v>
      </c>
      <c r="C51" s="24">
        <v>1</v>
      </c>
      <c r="D51" s="76">
        <v>0</v>
      </c>
      <c r="E51" s="76">
        <v>1</v>
      </c>
      <c r="F51" s="24">
        <v>0</v>
      </c>
      <c r="G51" s="24">
        <v>1</v>
      </c>
      <c r="H51" s="76">
        <v>1</v>
      </c>
      <c r="I51" s="27">
        <v>0</v>
      </c>
      <c r="J51" s="14">
        <v>0</v>
      </c>
      <c r="K51" s="14">
        <v>0</v>
      </c>
      <c r="L51" s="14">
        <v>0</v>
      </c>
      <c r="M51" s="27">
        <v>0</v>
      </c>
    </row>
    <row r="52" spans="1:13" x14ac:dyDescent="0.35">
      <c r="A52" s="14">
        <v>51</v>
      </c>
      <c r="B52" s="24">
        <v>0</v>
      </c>
      <c r="C52" s="24">
        <v>1</v>
      </c>
      <c r="D52" s="76">
        <v>1</v>
      </c>
      <c r="E52" s="76">
        <v>0</v>
      </c>
      <c r="F52" s="24">
        <v>0</v>
      </c>
      <c r="G52" s="24">
        <v>1</v>
      </c>
      <c r="H52" s="76">
        <v>1</v>
      </c>
      <c r="I52" s="27">
        <v>0</v>
      </c>
      <c r="J52" s="14">
        <v>0</v>
      </c>
      <c r="K52" s="14">
        <v>0</v>
      </c>
      <c r="L52" s="14">
        <v>0</v>
      </c>
      <c r="M52" s="27">
        <v>1</v>
      </c>
    </row>
    <row r="53" spans="1:13" x14ac:dyDescent="0.35">
      <c r="A53" s="14">
        <v>52</v>
      </c>
      <c r="B53" s="24">
        <v>1</v>
      </c>
      <c r="C53" s="24">
        <v>0</v>
      </c>
      <c r="D53" s="76">
        <v>1</v>
      </c>
      <c r="E53" s="76">
        <v>0</v>
      </c>
      <c r="F53" s="24">
        <v>0</v>
      </c>
      <c r="G53" s="24">
        <v>1</v>
      </c>
      <c r="H53" s="76">
        <v>1</v>
      </c>
      <c r="I53" s="27">
        <v>0</v>
      </c>
      <c r="J53" s="14">
        <v>1</v>
      </c>
      <c r="K53" s="14">
        <v>0</v>
      </c>
      <c r="L53" s="14">
        <v>1</v>
      </c>
      <c r="M53" s="27">
        <v>1</v>
      </c>
    </row>
    <row r="54" spans="1:13" x14ac:dyDescent="0.35">
      <c r="A54" s="14">
        <v>53</v>
      </c>
      <c r="B54" s="24">
        <v>0</v>
      </c>
      <c r="C54" s="24">
        <v>1</v>
      </c>
      <c r="D54" s="76">
        <v>1</v>
      </c>
      <c r="E54" s="76">
        <v>0</v>
      </c>
      <c r="F54" s="24">
        <v>0</v>
      </c>
      <c r="G54" s="24">
        <v>1</v>
      </c>
      <c r="H54" s="76">
        <v>0</v>
      </c>
      <c r="I54" s="27">
        <v>0</v>
      </c>
      <c r="J54" s="14">
        <v>1</v>
      </c>
      <c r="K54" s="14">
        <v>0</v>
      </c>
      <c r="L54" s="14">
        <v>0</v>
      </c>
      <c r="M54" s="27">
        <v>0</v>
      </c>
    </row>
    <row r="55" spans="1:13" x14ac:dyDescent="0.35">
      <c r="A55" s="14">
        <v>54</v>
      </c>
      <c r="B55" s="24">
        <v>1</v>
      </c>
      <c r="C55" s="24">
        <v>0</v>
      </c>
      <c r="D55" s="76">
        <v>1</v>
      </c>
      <c r="E55" s="76">
        <v>0</v>
      </c>
      <c r="F55" s="24">
        <v>0</v>
      </c>
      <c r="G55" s="24">
        <v>1</v>
      </c>
      <c r="H55" s="76">
        <v>1</v>
      </c>
      <c r="I55" s="27">
        <v>0</v>
      </c>
      <c r="J55" s="14">
        <v>1</v>
      </c>
      <c r="K55" s="14">
        <v>0</v>
      </c>
      <c r="L55" s="14">
        <v>1</v>
      </c>
      <c r="M55" s="27">
        <v>1</v>
      </c>
    </row>
    <row r="56" spans="1:13" x14ac:dyDescent="0.35">
      <c r="A56" s="14">
        <v>55</v>
      </c>
      <c r="B56" s="24">
        <v>1</v>
      </c>
      <c r="C56" s="24">
        <v>0</v>
      </c>
      <c r="D56" s="76">
        <v>1</v>
      </c>
      <c r="E56" s="76">
        <v>0</v>
      </c>
      <c r="F56" s="24">
        <v>0</v>
      </c>
      <c r="G56" s="24">
        <v>1</v>
      </c>
      <c r="H56" s="76">
        <v>1</v>
      </c>
      <c r="I56" s="27">
        <v>0</v>
      </c>
      <c r="J56" s="14">
        <v>1</v>
      </c>
      <c r="K56" s="14">
        <v>0</v>
      </c>
      <c r="L56" s="14">
        <v>1</v>
      </c>
      <c r="M56" s="27">
        <v>1</v>
      </c>
    </row>
    <row r="57" spans="1:13" x14ac:dyDescent="0.35">
      <c r="A57" s="14">
        <v>56</v>
      </c>
      <c r="B57" s="24">
        <v>1</v>
      </c>
      <c r="C57" s="24">
        <v>0</v>
      </c>
      <c r="D57" s="76">
        <v>1</v>
      </c>
      <c r="E57" s="76">
        <v>0</v>
      </c>
      <c r="F57" s="24">
        <v>0</v>
      </c>
      <c r="G57" s="24">
        <v>1</v>
      </c>
      <c r="H57" s="76">
        <v>0</v>
      </c>
      <c r="I57" s="27">
        <v>0</v>
      </c>
      <c r="J57" s="14">
        <v>0</v>
      </c>
      <c r="K57" s="14">
        <v>0</v>
      </c>
      <c r="L57" s="14">
        <v>0</v>
      </c>
      <c r="M57" s="2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14F2C-0D38-4433-8410-3CD150EFA3F6}">
  <dimension ref="A1:M13"/>
  <sheetViews>
    <sheetView workbookViewId="0">
      <selection activeCell="L15" sqref="L15"/>
    </sheetView>
  </sheetViews>
  <sheetFormatPr defaultRowHeight="14.5" x14ac:dyDescent="0.35"/>
  <cols>
    <col min="1" max="1" width="31.1796875" bestFit="1" customWidth="1"/>
    <col min="2" max="2" width="19.08984375" bestFit="1" customWidth="1"/>
    <col min="3" max="3" width="23.90625" bestFit="1" customWidth="1"/>
    <col min="4" max="5" width="12.453125" bestFit="1" customWidth="1"/>
    <col min="6" max="6" width="13" bestFit="1" customWidth="1"/>
    <col min="7" max="7" width="16.54296875" bestFit="1" customWidth="1"/>
    <col min="8" max="8" width="23.6328125" bestFit="1" customWidth="1"/>
    <col min="9" max="9" width="24.54296875" bestFit="1" customWidth="1"/>
    <col min="10" max="10" width="14.26953125" bestFit="1" customWidth="1"/>
    <col min="11" max="11" width="12.6328125" bestFit="1" customWidth="1"/>
    <col min="12" max="12" width="21.1796875" bestFit="1" customWidth="1"/>
  </cols>
  <sheetData>
    <row r="1" spans="1:13" x14ac:dyDescent="0.35">
      <c r="A1" s="30"/>
      <c r="B1" s="30" t="s">
        <v>305</v>
      </c>
      <c r="C1" s="30" t="s">
        <v>306</v>
      </c>
      <c r="D1" s="30" t="s">
        <v>303</v>
      </c>
      <c r="E1" s="30" t="s">
        <v>304</v>
      </c>
      <c r="F1" s="30" t="s">
        <v>268</v>
      </c>
      <c r="G1" s="30" t="s">
        <v>271</v>
      </c>
      <c r="H1" s="30" t="s">
        <v>301</v>
      </c>
      <c r="I1" s="30" t="s">
        <v>302</v>
      </c>
      <c r="J1" s="30" t="s">
        <v>295</v>
      </c>
      <c r="K1" s="30" t="s">
        <v>296</v>
      </c>
      <c r="L1" s="30" t="s">
        <v>297</v>
      </c>
      <c r="M1" s="30" t="s">
        <v>298</v>
      </c>
    </row>
    <row r="2" spans="1:13" x14ac:dyDescent="0.35">
      <c r="A2" t="s">
        <v>305</v>
      </c>
      <c r="B2">
        <v>1</v>
      </c>
    </row>
    <row r="3" spans="1:13" x14ac:dyDescent="0.35">
      <c r="A3" t="s">
        <v>306</v>
      </c>
      <c r="B3">
        <v>-0.99999999999999989</v>
      </c>
      <c r="C3">
        <v>1</v>
      </c>
    </row>
    <row r="4" spans="1:13" x14ac:dyDescent="0.35">
      <c r="A4" t="s">
        <v>303</v>
      </c>
      <c r="B4">
        <v>-0.10671936758893276</v>
      </c>
      <c r="C4">
        <v>0.10671936758893276</v>
      </c>
      <c r="D4">
        <v>1</v>
      </c>
    </row>
    <row r="5" spans="1:13" x14ac:dyDescent="0.35">
      <c r="A5" t="s">
        <v>304</v>
      </c>
      <c r="B5">
        <v>1.6232825118589117E-2</v>
      </c>
      <c r="C5">
        <v>-1.6232825118589117E-2</v>
      </c>
      <c r="D5">
        <v>-0.89280538152240263</v>
      </c>
      <c r="E5">
        <v>1</v>
      </c>
    </row>
    <row r="6" spans="1:13" x14ac:dyDescent="0.35">
      <c r="A6" t="s">
        <v>268</v>
      </c>
      <c r="B6">
        <v>2.8116077855776741E-2</v>
      </c>
      <c r="C6">
        <v>-2.8116077855776741E-2</v>
      </c>
      <c r="D6">
        <v>-0.27178875260584084</v>
      </c>
      <c r="E6">
        <v>0.34641016151377541</v>
      </c>
      <c r="F6">
        <v>1</v>
      </c>
    </row>
    <row r="7" spans="1:13" x14ac:dyDescent="0.35">
      <c r="A7" t="s">
        <v>271</v>
      </c>
      <c r="B7">
        <v>-0.23003590360667051</v>
      </c>
      <c r="C7">
        <v>0.23003590360667051</v>
      </c>
      <c r="D7">
        <v>0.22677298298813625</v>
      </c>
      <c r="E7">
        <v>-6.7002521017281861E-3</v>
      </c>
      <c r="F7">
        <v>-0.10444659357341866</v>
      </c>
      <c r="G7">
        <v>1</v>
      </c>
    </row>
    <row r="8" spans="1:13" x14ac:dyDescent="0.35">
      <c r="A8" t="s">
        <v>301</v>
      </c>
      <c r="B8">
        <v>-0.13410996015431292</v>
      </c>
      <c r="C8">
        <v>0.13410996015431292</v>
      </c>
      <c r="D8">
        <v>0.12047165912167099</v>
      </c>
      <c r="E8">
        <v>-0.15869840952317468</v>
      </c>
      <c r="F8">
        <v>1.6169041669088897E-2</v>
      </c>
      <c r="G8">
        <v>2.8146688728050719E-3</v>
      </c>
      <c r="H8">
        <v>1</v>
      </c>
    </row>
    <row r="9" spans="1:13" x14ac:dyDescent="0.35">
      <c r="A9" t="s">
        <v>302</v>
      </c>
      <c r="B9">
        <v>0.16066640121804904</v>
      </c>
      <c r="C9">
        <v>-0.16066640121804904</v>
      </c>
      <c r="D9">
        <v>-0.2305213582693747</v>
      </c>
      <c r="E9">
        <v>0.25819888974716099</v>
      </c>
      <c r="F9">
        <v>0.14907119849998599</v>
      </c>
      <c r="G9">
        <v>-0.14704980056384293</v>
      </c>
      <c r="H9">
        <v>-0.61463629715285961</v>
      </c>
      <c r="I9">
        <v>1</v>
      </c>
    </row>
    <row r="10" spans="1:13" x14ac:dyDescent="0.35">
      <c r="A10" t="s">
        <v>295</v>
      </c>
      <c r="B10">
        <v>0.36895475265389027</v>
      </c>
      <c r="C10">
        <v>-0.36895475265389027</v>
      </c>
      <c r="D10">
        <v>-7.6976171416998779E-2</v>
      </c>
      <c r="E10">
        <v>6.5406994016772885E-2</v>
      </c>
      <c r="F10">
        <v>5.6644118403702134E-2</v>
      </c>
      <c r="G10">
        <v>-0.21364363270019154</v>
      </c>
      <c r="H10">
        <v>-0.12364394995506545</v>
      </c>
      <c r="I10">
        <v>0.15480678800427444</v>
      </c>
      <c r="J10">
        <v>1</v>
      </c>
    </row>
    <row r="11" spans="1:13" x14ac:dyDescent="0.35">
      <c r="A11" t="s">
        <v>296</v>
      </c>
      <c r="B11">
        <v>-0.23322710065907215</v>
      </c>
      <c r="C11">
        <v>0.23322710065907215</v>
      </c>
      <c r="D11">
        <v>9.6034688506676541E-2</v>
      </c>
      <c r="E11">
        <v>-0.16903085094570316</v>
      </c>
      <c r="F11">
        <v>6.9707148067752356E-2</v>
      </c>
      <c r="G11">
        <v>5.0964719143762695E-2</v>
      </c>
      <c r="H11">
        <v>0.11834526708278766</v>
      </c>
      <c r="I11">
        <v>-7.273929674533075E-2</v>
      </c>
      <c r="J11">
        <v>-0.469871493899365</v>
      </c>
      <c r="K11">
        <v>1</v>
      </c>
    </row>
    <row r="12" spans="1:13" x14ac:dyDescent="0.35">
      <c r="A12" t="s">
        <v>297</v>
      </c>
      <c r="B12">
        <v>0.74971483663182503</v>
      </c>
      <c r="C12">
        <v>-0.74971483663182503</v>
      </c>
      <c r="D12">
        <v>-0.12647363331006439</v>
      </c>
      <c r="E12">
        <v>8.0321932890249886E-2</v>
      </c>
      <c r="F12">
        <v>0.17622078038886391</v>
      </c>
      <c r="G12">
        <v>-0.2793139666249716</v>
      </c>
      <c r="H12">
        <v>-9.6726954525692077E-2</v>
      </c>
      <c r="I12">
        <v>0.21430335024428782</v>
      </c>
      <c r="J12">
        <v>0.72237222529562839</v>
      </c>
      <c r="K12">
        <v>-0.33942211665106475</v>
      </c>
      <c r="L12">
        <v>1</v>
      </c>
    </row>
    <row r="13" spans="1:13" ht="15" thickBot="1" x14ac:dyDescent="0.4">
      <c r="A13" s="29" t="s">
        <v>298</v>
      </c>
      <c r="B13" s="29">
        <v>-9.257348417540795E-2</v>
      </c>
      <c r="C13" s="29">
        <v>9.257348417540795E-2</v>
      </c>
      <c r="D13" s="29">
        <v>0.92964639742346267</v>
      </c>
      <c r="E13" s="29">
        <v>-0.82999330653258174</v>
      </c>
      <c r="F13" s="29">
        <v>-0.17622078038886391</v>
      </c>
      <c r="G13" s="29">
        <v>0.18890019708162814</v>
      </c>
      <c r="H13" s="29">
        <v>0.34866692910423913</v>
      </c>
      <c r="I13" s="29">
        <v>-0.21430335024428776</v>
      </c>
      <c r="J13" s="29">
        <v>-6.0416586115634219E-2</v>
      </c>
      <c r="K13" s="29">
        <v>0.12219196199438359</v>
      </c>
      <c r="L13" s="29">
        <v>-6.0645161290322602E-2</v>
      </c>
      <c r="M13" s="29">
        <v>1</v>
      </c>
    </row>
  </sheetData>
  <conditionalFormatting sqref="A1:M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2A91-AAEF-4FFD-B1AD-F5359C16B41E}">
  <dimension ref="A1:L57"/>
  <sheetViews>
    <sheetView zoomScale="66" workbookViewId="0">
      <selection activeCell="S19" sqref="S19"/>
    </sheetView>
  </sheetViews>
  <sheetFormatPr defaultRowHeight="14.5" x14ac:dyDescent="0.35"/>
  <cols>
    <col min="2" max="2" width="10.81640625" bestFit="1" customWidth="1"/>
    <col min="3" max="3" width="23.90625" bestFit="1" customWidth="1"/>
    <col min="4" max="4" width="11.7265625" bestFit="1" customWidth="1"/>
    <col min="5" max="5" width="20.7265625" bestFit="1" customWidth="1"/>
    <col min="6" max="6" width="32.26953125" bestFit="1" customWidth="1"/>
    <col min="7" max="7" width="26.81640625" hidden="1" customWidth="1"/>
    <col min="8" max="8" width="19.7265625" hidden="1" customWidth="1"/>
    <col min="9" max="9" width="23.54296875" hidden="1" customWidth="1"/>
    <col min="10" max="10" width="12.6328125" hidden="1" customWidth="1"/>
    <col min="11" max="11" width="11.7265625" hidden="1" customWidth="1"/>
    <col min="12" max="12" width="6.08984375" bestFit="1" customWidth="1"/>
    <col min="14" max="14" width="16" customWidth="1"/>
  </cols>
  <sheetData>
    <row r="1" spans="1:12" x14ac:dyDescent="0.35">
      <c r="A1" s="14" t="s">
        <v>307</v>
      </c>
      <c r="B1" s="86" t="s">
        <v>308</v>
      </c>
      <c r="C1" s="86" t="s">
        <v>309</v>
      </c>
      <c r="D1" s="86" t="s">
        <v>310</v>
      </c>
      <c r="E1" s="86" t="s">
        <v>311</v>
      </c>
      <c r="F1" s="86" t="s">
        <v>298</v>
      </c>
      <c r="G1" s="14" t="s">
        <v>312</v>
      </c>
      <c r="H1" s="14" t="s">
        <v>313</v>
      </c>
      <c r="I1" s="14" t="s">
        <v>314</v>
      </c>
      <c r="J1" s="14" t="s">
        <v>315</v>
      </c>
      <c r="K1" s="14" t="s">
        <v>316</v>
      </c>
      <c r="L1" s="14" t="s">
        <v>317</v>
      </c>
    </row>
    <row r="2" spans="1:12" x14ac:dyDescent="0.35">
      <c r="A2" s="87">
        <v>1</v>
      </c>
      <c r="B2" s="87">
        <v>1</v>
      </c>
      <c r="C2" s="87">
        <v>1</v>
      </c>
      <c r="D2" s="87">
        <v>0</v>
      </c>
      <c r="E2" s="87">
        <v>1</v>
      </c>
      <c r="F2" s="87">
        <v>0</v>
      </c>
      <c r="G2" s="88">
        <v>-1.1035656495456641</v>
      </c>
      <c r="H2" s="88">
        <v>1.1035656495456641</v>
      </c>
      <c r="I2" s="88">
        <v>5.1495492174419644</v>
      </c>
      <c r="J2" s="88">
        <v>-0.37457458863219706</v>
      </c>
      <c r="K2" s="88">
        <v>0.76764947357873836</v>
      </c>
      <c r="L2" s="87">
        <v>1</v>
      </c>
    </row>
    <row r="3" spans="1:12" x14ac:dyDescent="0.35">
      <c r="A3" s="87">
        <v>2</v>
      </c>
      <c r="B3" s="87">
        <v>1</v>
      </c>
      <c r="C3" s="87">
        <v>0</v>
      </c>
      <c r="D3" s="87">
        <v>0</v>
      </c>
      <c r="E3" s="87">
        <v>1</v>
      </c>
      <c r="F3" s="87">
        <v>1</v>
      </c>
      <c r="G3" s="88">
        <v>0.88997229802069666</v>
      </c>
      <c r="H3" s="88">
        <v>1.1035656495456641</v>
      </c>
      <c r="I3" s="88">
        <v>-0.19072404509044319</v>
      </c>
      <c r="J3" s="88">
        <v>-0.37457458863219706</v>
      </c>
      <c r="K3" s="88">
        <v>0.76764947357873836</v>
      </c>
      <c r="L3" s="87">
        <v>2</v>
      </c>
    </row>
    <row r="4" spans="1:12" x14ac:dyDescent="0.35">
      <c r="A4" s="87">
        <v>3</v>
      </c>
      <c r="B4" s="87">
        <v>1</v>
      </c>
      <c r="C4" s="87">
        <v>0</v>
      </c>
      <c r="D4" s="87">
        <v>0</v>
      </c>
      <c r="E4" s="87">
        <v>1</v>
      </c>
      <c r="F4" s="87">
        <v>1</v>
      </c>
      <c r="G4" s="88">
        <v>0.88997229802069666</v>
      </c>
      <c r="H4" s="88">
        <v>1.1035656495456641</v>
      </c>
      <c r="I4" s="88">
        <v>-0.19072404509044319</v>
      </c>
      <c r="J4" s="88">
        <v>-0.37457458863219706</v>
      </c>
      <c r="K4" s="88">
        <v>0.76764947357873836</v>
      </c>
      <c r="L4" s="87">
        <v>2</v>
      </c>
    </row>
    <row r="5" spans="1:12" x14ac:dyDescent="0.35">
      <c r="A5" s="87">
        <v>4</v>
      </c>
      <c r="B5" s="87">
        <v>1</v>
      </c>
      <c r="C5" s="87">
        <v>0</v>
      </c>
      <c r="D5" s="87">
        <v>0</v>
      </c>
      <c r="E5" s="87">
        <v>1</v>
      </c>
      <c r="F5" s="87">
        <v>0</v>
      </c>
      <c r="G5" s="88">
        <v>-1.1035656495456641</v>
      </c>
      <c r="H5" s="88">
        <v>1.1035656495456641</v>
      </c>
      <c r="I5" s="88">
        <v>-0.19072404509044319</v>
      </c>
      <c r="J5" s="88">
        <v>-0.37457458863219706</v>
      </c>
      <c r="K5" s="88">
        <v>0.76764947357873836</v>
      </c>
      <c r="L5" s="87">
        <v>2</v>
      </c>
    </row>
    <row r="6" spans="1:12" x14ac:dyDescent="0.35">
      <c r="A6" s="87">
        <v>5</v>
      </c>
      <c r="B6" s="87">
        <v>1</v>
      </c>
      <c r="C6" s="87">
        <v>0</v>
      </c>
      <c r="D6" s="87">
        <v>0</v>
      </c>
      <c r="E6" s="87">
        <v>1</v>
      </c>
      <c r="F6" s="87">
        <v>1</v>
      </c>
      <c r="G6" s="88">
        <v>0.88997229802069666</v>
      </c>
      <c r="H6" s="88">
        <v>1.1035656495456641</v>
      </c>
      <c r="I6" s="88">
        <v>-0.19072404509044319</v>
      </c>
      <c r="J6" s="88">
        <v>-0.37457458863219706</v>
      </c>
      <c r="K6" s="88">
        <v>0.76764947357873836</v>
      </c>
      <c r="L6" s="87">
        <v>2</v>
      </c>
    </row>
    <row r="7" spans="1:12" x14ac:dyDescent="0.35">
      <c r="A7" s="87">
        <v>6</v>
      </c>
      <c r="B7" s="87">
        <v>1</v>
      </c>
      <c r="C7" s="87">
        <v>0</v>
      </c>
      <c r="D7" s="87">
        <v>0</v>
      </c>
      <c r="E7" s="87">
        <v>1</v>
      </c>
      <c r="F7" s="87">
        <v>1</v>
      </c>
      <c r="G7" s="88">
        <v>0.88997229802069666</v>
      </c>
      <c r="H7" s="88">
        <v>1.1035656495456641</v>
      </c>
      <c r="I7" s="88">
        <v>-0.19072404509044319</v>
      </c>
      <c r="J7" s="88">
        <v>-0.37457458863219706</v>
      </c>
      <c r="K7" s="88">
        <v>0.76764947357873836</v>
      </c>
      <c r="L7" s="87">
        <v>2</v>
      </c>
    </row>
    <row r="8" spans="1:12" x14ac:dyDescent="0.35">
      <c r="A8" s="87">
        <v>7</v>
      </c>
      <c r="B8" s="87">
        <v>0</v>
      </c>
      <c r="C8" s="87">
        <v>0</v>
      </c>
      <c r="D8" s="87">
        <v>0</v>
      </c>
      <c r="E8" s="87">
        <v>1</v>
      </c>
      <c r="F8" s="87">
        <v>0</v>
      </c>
      <c r="G8" s="88">
        <v>-1.1035656495456641</v>
      </c>
      <c r="H8" s="88">
        <v>1.1035656495456641</v>
      </c>
      <c r="I8" s="88">
        <v>-0.19072404509044319</v>
      </c>
      <c r="J8" s="88">
        <v>-0.37457458863219706</v>
      </c>
      <c r="K8" s="88">
        <v>-1.2794157892978979</v>
      </c>
      <c r="L8" s="87">
        <v>3</v>
      </c>
    </row>
    <row r="9" spans="1:12" x14ac:dyDescent="0.35">
      <c r="A9" s="87">
        <v>8</v>
      </c>
      <c r="B9" s="87">
        <v>1</v>
      </c>
      <c r="C9" s="87">
        <v>0</v>
      </c>
      <c r="D9" s="87">
        <v>0</v>
      </c>
      <c r="E9" s="87">
        <v>1</v>
      </c>
      <c r="F9" s="87">
        <v>0</v>
      </c>
      <c r="G9" s="88">
        <v>-1.1035656495456641</v>
      </c>
      <c r="H9" s="88">
        <v>1.1035656495456641</v>
      </c>
      <c r="I9" s="88">
        <v>-0.19072404509044319</v>
      </c>
      <c r="J9" s="88">
        <v>-0.37457458863219706</v>
      </c>
      <c r="K9" s="88">
        <v>0.76764947357873836</v>
      </c>
      <c r="L9" s="87">
        <v>2</v>
      </c>
    </row>
    <row r="10" spans="1:12" x14ac:dyDescent="0.35">
      <c r="A10" s="87">
        <v>9</v>
      </c>
      <c r="B10" s="87">
        <v>1</v>
      </c>
      <c r="C10" s="87">
        <v>0</v>
      </c>
      <c r="D10" s="87">
        <v>0</v>
      </c>
      <c r="E10" s="87">
        <v>0</v>
      </c>
      <c r="F10" s="87">
        <v>0</v>
      </c>
      <c r="G10" s="88">
        <v>-1.1035656495456641</v>
      </c>
      <c r="H10" s="88">
        <v>-0.88997229802069655</v>
      </c>
      <c r="I10" s="88">
        <v>-0.19072404509044319</v>
      </c>
      <c r="J10" s="88">
        <v>-0.37457458863219706</v>
      </c>
      <c r="K10" s="88">
        <v>0.76764947357873836</v>
      </c>
      <c r="L10" s="87">
        <v>5</v>
      </c>
    </row>
    <row r="11" spans="1:12" x14ac:dyDescent="0.35">
      <c r="A11" s="87">
        <v>10</v>
      </c>
      <c r="B11" s="87">
        <v>1</v>
      </c>
      <c r="C11" s="87">
        <v>0</v>
      </c>
      <c r="D11" s="87">
        <v>0</v>
      </c>
      <c r="E11" s="87">
        <v>1</v>
      </c>
      <c r="F11" s="87">
        <v>0</v>
      </c>
      <c r="G11" s="88">
        <v>-1.1035656495456641</v>
      </c>
      <c r="H11" s="88">
        <v>1.1035656495456641</v>
      </c>
      <c r="I11" s="88">
        <v>-0.19072404509044319</v>
      </c>
      <c r="J11" s="88">
        <v>-0.37457458863219706</v>
      </c>
      <c r="K11" s="88">
        <v>0.76764947357873836</v>
      </c>
      <c r="L11" s="87">
        <v>2</v>
      </c>
    </row>
    <row r="12" spans="1:12" x14ac:dyDescent="0.35">
      <c r="A12" s="87">
        <v>11</v>
      </c>
      <c r="B12" s="87">
        <v>1</v>
      </c>
      <c r="C12" s="87">
        <v>0</v>
      </c>
      <c r="D12" s="87">
        <v>0</v>
      </c>
      <c r="E12" s="87">
        <v>1</v>
      </c>
      <c r="F12" s="87">
        <v>1</v>
      </c>
      <c r="G12" s="88">
        <v>0.88997229802069666</v>
      </c>
      <c r="H12" s="88">
        <v>1.1035656495456641</v>
      </c>
      <c r="I12" s="88">
        <v>-0.19072404509044319</v>
      </c>
      <c r="J12" s="88">
        <v>-0.37457458863219706</v>
      </c>
      <c r="K12" s="88">
        <v>0.76764947357873836</v>
      </c>
      <c r="L12" s="87">
        <v>2</v>
      </c>
    </row>
    <row r="13" spans="1:12" x14ac:dyDescent="0.35">
      <c r="A13" s="87">
        <v>12</v>
      </c>
      <c r="B13" s="87">
        <v>1</v>
      </c>
      <c r="C13" s="87">
        <v>0</v>
      </c>
      <c r="D13" s="87">
        <v>1</v>
      </c>
      <c r="E13" s="87">
        <v>0</v>
      </c>
      <c r="F13" s="87">
        <v>0</v>
      </c>
      <c r="G13" s="88">
        <v>-1.1035656495456641</v>
      </c>
      <c r="H13" s="88">
        <v>-0.88997229802069655</v>
      </c>
      <c r="I13" s="88">
        <v>-0.19072404509044319</v>
      </c>
      <c r="J13" s="88">
        <v>2.6220221204253789</v>
      </c>
      <c r="K13" s="88">
        <v>0.76764947357873836</v>
      </c>
      <c r="L13" s="87">
        <v>4</v>
      </c>
    </row>
    <row r="14" spans="1:12" x14ac:dyDescent="0.35">
      <c r="A14" s="87">
        <v>13</v>
      </c>
      <c r="B14" s="87">
        <v>1</v>
      </c>
      <c r="C14" s="87">
        <v>0</v>
      </c>
      <c r="D14" s="87">
        <v>1</v>
      </c>
      <c r="E14" s="87">
        <v>0</v>
      </c>
      <c r="F14" s="87">
        <v>1</v>
      </c>
      <c r="G14" s="88">
        <v>0.88997229802069666</v>
      </c>
      <c r="H14" s="88">
        <v>-0.88997229802069655</v>
      </c>
      <c r="I14" s="88">
        <v>-0.19072404509044319</v>
      </c>
      <c r="J14" s="88">
        <v>2.6220221204253789</v>
      </c>
      <c r="K14" s="88">
        <v>0.76764947357873836</v>
      </c>
      <c r="L14" s="87">
        <v>4</v>
      </c>
    </row>
    <row r="15" spans="1:12" x14ac:dyDescent="0.35">
      <c r="A15" s="87">
        <v>14</v>
      </c>
      <c r="B15" s="87">
        <v>1</v>
      </c>
      <c r="C15" s="87">
        <v>0</v>
      </c>
      <c r="D15" s="87">
        <v>0</v>
      </c>
      <c r="E15" s="87">
        <v>0</v>
      </c>
      <c r="F15" s="87">
        <v>0</v>
      </c>
      <c r="G15" s="88">
        <v>-1.1035656495456641</v>
      </c>
      <c r="H15" s="88">
        <v>-0.88997229802069655</v>
      </c>
      <c r="I15" s="88">
        <v>-0.19072404509044319</v>
      </c>
      <c r="J15" s="88">
        <v>-0.37457458863219706</v>
      </c>
      <c r="K15" s="88">
        <v>0.76764947357873836</v>
      </c>
      <c r="L15" s="87">
        <v>5</v>
      </c>
    </row>
    <row r="16" spans="1:12" x14ac:dyDescent="0.35">
      <c r="A16" s="87">
        <v>15</v>
      </c>
      <c r="B16" s="87">
        <v>1</v>
      </c>
      <c r="C16" s="87">
        <v>0</v>
      </c>
      <c r="D16" s="87">
        <v>1</v>
      </c>
      <c r="E16" s="87">
        <v>0</v>
      </c>
      <c r="F16" s="87">
        <v>1</v>
      </c>
      <c r="G16" s="88">
        <v>0.88997229802069666</v>
      </c>
      <c r="H16" s="88">
        <v>-0.88997229802069655</v>
      </c>
      <c r="I16" s="88">
        <v>-0.19072404509044319</v>
      </c>
      <c r="J16" s="88">
        <v>2.6220221204253789</v>
      </c>
      <c r="K16" s="88">
        <v>0.76764947357873836</v>
      </c>
      <c r="L16" s="87">
        <v>4</v>
      </c>
    </row>
    <row r="17" spans="1:12" x14ac:dyDescent="0.35">
      <c r="A17" s="87">
        <v>16</v>
      </c>
      <c r="B17" s="87">
        <v>1</v>
      </c>
      <c r="C17" s="87">
        <v>0</v>
      </c>
      <c r="D17" s="87">
        <v>0</v>
      </c>
      <c r="E17" s="87">
        <v>0</v>
      </c>
      <c r="F17" s="87">
        <v>0</v>
      </c>
      <c r="G17" s="88">
        <v>-1.1035656495456641</v>
      </c>
      <c r="H17" s="88">
        <v>-0.88997229802069655</v>
      </c>
      <c r="I17" s="88">
        <v>-0.19072404509044319</v>
      </c>
      <c r="J17" s="88">
        <v>-0.37457458863219706</v>
      </c>
      <c r="K17" s="88">
        <v>0.76764947357873836</v>
      </c>
      <c r="L17" s="87">
        <v>5</v>
      </c>
    </row>
    <row r="18" spans="1:12" x14ac:dyDescent="0.35">
      <c r="A18" s="87">
        <v>17</v>
      </c>
      <c r="B18" s="87">
        <v>1</v>
      </c>
      <c r="C18" s="87">
        <v>0</v>
      </c>
      <c r="D18" s="87">
        <v>0</v>
      </c>
      <c r="E18" s="87">
        <v>0</v>
      </c>
      <c r="F18" s="87">
        <v>1</v>
      </c>
      <c r="G18" s="88">
        <v>0.88997229802069666</v>
      </c>
      <c r="H18" s="88">
        <v>-0.88997229802069655</v>
      </c>
      <c r="I18" s="88">
        <v>-0.19072404509044319</v>
      </c>
      <c r="J18" s="88">
        <v>-0.37457458863219706</v>
      </c>
      <c r="K18" s="88">
        <v>0.76764947357873836</v>
      </c>
      <c r="L18" s="87">
        <v>2</v>
      </c>
    </row>
    <row r="19" spans="1:12" x14ac:dyDescent="0.35">
      <c r="A19" s="87">
        <v>18</v>
      </c>
      <c r="B19" s="87">
        <v>1</v>
      </c>
      <c r="C19" s="87">
        <v>0</v>
      </c>
      <c r="D19" s="87">
        <v>0</v>
      </c>
      <c r="E19" s="87">
        <v>0</v>
      </c>
      <c r="F19" s="87">
        <v>0</v>
      </c>
      <c r="G19" s="88">
        <v>-1.1035656495456641</v>
      </c>
      <c r="H19" s="88">
        <v>-0.88997229802069655</v>
      </c>
      <c r="I19" s="88">
        <v>-0.19072404509044319</v>
      </c>
      <c r="J19" s="88">
        <v>-0.37457458863219706</v>
      </c>
      <c r="K19" s="88">
        <v>0.76764947357873836</v>
      </c>
      <c r="L19" s="87">
        <v>5</v>
      </c>
    </row>
    <row r="20" spans="1:12" x14ac:dyDescent="0.35">
      <c r="A20" s="87">
        <v>19</v>
      </c>
      <c r="B20" s="87">
        <v>1</v>
      </c>
      <c r="C20" s="87">
        <v>0</v>
      </c>
      <c r="D20" s="87">
        <v>0</v>
      </c>
      <c r="E20" s="87">
        <v>0</v>
      </c>
      <c r="F20" s="87">
        <v>1</v>
      </c>
      <c r="G20" s="88">
        <v>0.88997229802069666</v>
      </c>
      <c r="H20" s="88">
        <v>-0.88997229802069655</v>
      </c>
      <c r="I20" s="88">
        <v>-0.19072404509044319</v>
      </c>
      <c r="J20" s="88">
        <v>-0.37457458863219706</v>
      </c>
      <c r="K20" s="88">
        <v>0.76764947357873836</v>
      </c>
      <c r="L20" s="87">
        <v>2</v>
      </c>
    </row>
    <row r="21" spans="1:12" x14ac:dyDescent="0.35">
      <c r="A21" s="87">
        <v>20</v>
      </c>
      <c r="B21" s="87">
        <v>1</v>
      </c>
      <c r="C21" s="87">
        <v>0</v>
      </c>
      <c r="D21" s="87">
        <v>0</v>
      </c>
      <c r="E21" s="87">
        <v>0</v>
      </c>
      <c r="F21" s="87">
        <v>1</v>
      </c>
      <c r="G21" s="88">
        <v>0.88997229802069666</v>
      </c>
      <c r="H21" s="88">
        <v>-0.88997229802069655</v>
      </c>
      <c r="I21" s="88">
        <v>-0.19072404509044319</v>
      </c>
      <c r="J21" s="88">
        <v>-0.37457458863219706</v>
      </c>
      <c r="K21" s="88">
        <v>0.76764947357873836</v>
      </c>
      <c r="L21" s="87">
        <v>2</v>
      </c>
    </row>
    <row r="22" spans="1:12" x14ac:dyDescent="0.35">
      <c r="A22" s="87">
        <v>21</v>
      </c>
      <c r="B22" s="87">
        <v>1</v>
      </c>
      <c r="C22" s="87">
        <v>0</v>
      </c>
      <c r="D22" s="87">
        <v>0</v>
      </c>
      <c r="E22" s="87">
        <v>0</v>
      </c>
      <c r="F22" s="87">
        <v>0</v>
      </c>
      <c r="G22" s="88">
        <v>-1.1035656495456641</v>
      </c>
      <c r="H22" s="88">
        <v>-0.88997229802069655</v>
      </c>
      <c r="I22" s="88">
        <v>-0.19072404509044319</v>
      </c>
      <c r="J22" s="88">
        <v>-0.37457458863219706</v>
      </c>
      <c r="K22" s="88">
        <v>0.76764947357873836</v>
      </c>
      <c r="L22" s="87">
        <v>5</v>
      </c>
    </row>
    <row r="23" spans="1:12" x14ac:dyDescent="0.35">
      <c r="A23" s="87">
        <v>22</v>
      </c>
      <c r="B23" s="87">
        <v>1</v>
      </c>
      <c r="C23" s="87">
        <v>0</v>
      </c>
      <c r="D23" s="87">
        <v>1</v>
      </c>
      <c r="E23" s="87">
        <v>0</v>
      </c>
      <c r="F23" s="87">
        <v>1</v>
      </c>
      <c r="G23" s="88">
        <v>0.88997229802069666</v>
      </c>
      <c r="H23" s="88">
        <v>-0.88997229802069655</v>
      </c>
      <c r="I23" s="88">
        <v>-0.19072404509044319</v>
      </c>
      <c r="J23" s="88">
        <v>2.6220221204253789</v>
      </c>
      <c r="K23" s="88">
        <v>0.76764947357873836</v>
      </c>
      <c r="L23" s="87">
        <v>4</v>
      </c>
    </row>
    <row r="24" spans="1:12" x14ac:dyDescent="0.35">
      <c r="A24" s="87">
        <v>23</v>
      </c>
      <c r="B24" s="87">
        <v>1</v>
      </c>
      <c r="C24" s="87">
        <v>0</v>
      </c>
      <c r="D24" s="87">
        <v>0</v>
      </c>
      <c r="E24" s="87">
        <v>1</v>
      </c>
      <c r="F24" s="87">
        <v>0</v>
      </c>
      <c r="G24" s="88">
        <v>-1.1035656495456641</v>
      </c>
      <c r="H24" s="88">
        <v>1.1035656495456641</v>
      </c>
      <c r="I24" s="88">
        <v>-0.19072404509044319</v>
      </c>
      <c r="J24" s="88">
        <v>-0.37457458863219706</v>
      </c>
      <c r="K24" s="88">
        <v>0.76764947357873836</v>
      </c>
      <c r="L24" s="87">
        <v>2</v>
      </c>
    </row>
    <row r="25" spans="1:12" x14ac:dyDescent="0.35">
      <c r="A25" s="87">
        <v>24</v>
      </c>
      <c r="B25" s="87">
        <v>1</v>
      </c>
      <c r="C25" s="87">
        <v>0</v>
      </c>
      <c r="D25" s="87">
        <v>0</v>
      </c>
      <c r="E25" s="87">
        <v>1</v>
      </c>
      <c r="F25" s="87">
        <v>0</v>
      </c>
      <c r="G25" s="88">
        <v>-1.1035656495456641</v>
      </c>
      <c r="H25" s="88">
        <v>1.1035656495456641</v>
      </c>
      <c r="I25" s="88">
        <v>-0.19072404509044319</v>
      </c>
      <c r="J25" s="88">
        <v>-0.37457458863219706</v>
      </c>
      <c r="K25" s="88">
        <v>0.76764947357873836</v>
      </c>
      <c r="L25" s="87">
        <v>2</v>
      </c>
    </row>
    <row r="26" spans="1:12" x14ac:dyDescent="0.35">
      <c r="A26" s="87">
        <v>25</v>
      </c>
      <c r="B26" s="87">
        <v>1</v>
      </c>
      <c r="C26" s="87">
        <v>0</v>
      </c>
      <c r="D26" s="87">
        <v>0</v>
      </c>
      <c r="E26" s="87">
        <v>1</v>
      </c>
      <c r="F26" s="87">
        <v>1</v>
      </c>
      <c r="G26" s="88">
        <v>0.88997229802069666</v>
      </c>
      <c r="H26" s="88">
        <v>1.1035656495456641</v>
      </c>
      <c r="I26" s="88">
        <v>-0.19072404509044319</v>
      </c>
      <c r="J26" s="88">
        <v>-0.37457458863219706</v>
      </c>
      <c r="K26" s="88">
        <v>0.76764947357873836</v>
      </c>
      <c r="L26" s="87">
        <v>2</v>
      </c>
    </row>
    <row r="27" spans="1:12" x14ac:dyDescent="0.35">
      <c r="A27" s="87">
        <v>26</v>
      </c>
      <c r="B27" s="87">
        <v>1</v>
      </c>
      <c r="C27" s="87">
        <v>0</v>
      </c>
      <c r="D27" s="87">
        <v>0</v>
      </c>
      <c r="E27" s="87">
        <v>0</v>
      </c>
      <c r="F27" s="87">
        <v>0</v>
      </c>
      <c r="G27" s="88">
        <v>-1.1035656495456641</v>
      </c>
      <c r="H27" s="88">
        <v>-0.88997229802069655</v>
      </c>
      <c r="I27" s="88">
        <v>-0.19072404509044319</v>
      </c>
      <c r="J27" s="88">
        <v>-0.37457458863219706</v>
      </c>
      <c r="K27" s="88">
        <v>0.76764947357873836</v>
      </c>
      <c r="L27" s="87">
        <v>5</v>
      </c>
    </row>
    <row r="28" spans="1:12" x14ac:dyDescent="0.35">
      <c r="A28" s="87">
        <v>27</v>
      </c>
      <c r="B28" s="87">
        <v>1</v>
      </c>
      <c r="C28" s="87">
        <v>0</v>
      </c>
      <c r="D28" s="87">
        <v>0</v>
      </c>
      <c r="E28" s="87">
        <v>0</v>
      </c>
      <c r="F28" s="87">
        <v>1</v>
      </c>
      <c r="G28" s="88">
        <v>0.88997229802069666</v>
      </c>
      <c r="H28" s="88">
        <v>-0.88997229802069655</v>
      </c>
      <c r="I28" s="88">
        <v>-0.19072404509044319</v>
      </c>
      <c r="J28" s="88">
        <v>-0.37457458863219706</v>
      </c>
      <c r="K28" s="88">
        <v>0.76764947357873836</v>
      </c>
      <c r="L28" s="87">
        <v>2</v>
      </c>
    </row>
    <row r="29" spans="1:12" x14ac:dyDescent="0.35">
      <c r="A29" s="87">
        <v>28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8">
        <v>-1.1035656495456641</v>
      </c>
      <c r="H29" s="88">
        <v>-0.88997229802069655</v>
      </c>
      <c r="I29" s="88">
        <v>-0.19072404509044319</v>
      </c>
      <c r="J29" s="88">
        <v>-0.37457458863219706</v>
      </c>
      <c r="K29" s="88">
        <v>-1.2794157892978979</v>
      </c>
      <c r="L29" s="87">
        <v>3</v>
      </c>
    </row>
    <row r="30" spans="1:12" x14ac:dyDescent="0.35">
      <c r="A30" s="87">
        <v>29</v>
      </c>
      <c r="B30" s="87">
        <v>0</v>
      </c>
      <c r="C30" s="87">
        <v>0</v>
      </c>
      <c r="D30" s="87">
        <v>1</v>
      </c>
      <c r="E30" s="87">
        <v>0</v>
      </c>
      <c r="F30" s="87">
        <v>1</v>
      </c>
      <c r="G30" s="88">
        <v>0.88997229802069666</v>
      </c>
      <c r="H30" s="88">
        <v>-0.88997229802069655</v>
      </c>
      <c r="I30" s="88">
        <v>-0.19072404509044319</v>
      </c>
      <c r="J30" s="88">
        <v>2.6220221204253789</v>
      </c>
      <c r="K30" s="88">
        <v>-1.2794157892978979</v>
      </c>
      <c r="L30" s="87">
        <v>4</v>
      </c>
    </row>
    <row r="31" spans="1:12" x14ac:dyDescent="0.35">
      <c r="A31" s="87">
        <v>30</v>
      </c>
      <c r="B31" s="87">
        <v>1</v>
      </c>
      <c r="C31" s="87">
        <v>0</v>
      </c>
      <c r="D31" s="87">
        <v>0</v>
      </c>
      <c r="E31" s="87">
        <v>0</v>
      </c>
      <c r="F31" s="87">
        <v>0</v>
      </c>
      <c r="G31" s="88">
        <v>-1.1035656495456641</v>
      </c>
      <c r="H31" s="88">
        <v>-0.88997229802069655</v>
      </c>
      <c r="I31" s="88">
        <v>-0.19072404509044319</v>
      </c>
      <c r="J31" s="88">
        <v>-0.37457458863219706</v>
      </c>
      <c r="K31" s="88">
        <v>0.76764947357873836</v>
      </c>
      <c r="L31" s="87">
        <v>5</v>
      </c>
    </row>
    <row r="32" spans="1:12" x14ac:dyDescent="0.35">
      <c r="A32" s="87">
        <v>31</v>
      </c>
      <c r="B32" s="87">
        <v>0</v>
      </c>
      <c r="C32" s="87">
        <v>0</v>
      </c>
      <c r="D32" s="87">
        <v>0</v>
      </c>
      <c r="E32" s="87">
        <v>0</v>
      </c>
      <c r="F32" s="87">
        <v>1</v>
      </c>
      <c r="G32" s="88">
        <v>0.88997229802069666</v>
      </c>
      <c r="H32" s="88">
        <v>-0.88997229802069655</v>
      </c>
      <c r="I32" s="88">
        <v>-0.19072404509044319</v>
      </c>
      <c r="J32" s="88">
        <v>-0.37457458863219706</v>
      </c>
      <c r="K32" s="88">
        <v>-1.2794157892978979</v>
      </c>
      <c r="L32" s="87">
        <v>3</v>
      </c>
    </row>
    <row r="33" spans="1:12" x14ac:dyDescent="0.35">
      <c r="A33" s="87">
        <v>32</v>
      </c>
      <c r="B33" s="87">
        <v>0</v>
      </c>
      <c r="C33" s="87">
        <v>0</v>
      </c>
      <c r="D33" s="87">
        <v>0</v>
      </c>
      <c r="E33" s="87">
        <v>0</v>
      </c>
      <c r="F33" s="87">
        <v>1</v>
      </c>
      <c r="G33" s="88">
        <v>0.88997229802069666</v>
      </c>
      <c r="H33" s="88">
        <v>-0.88997229802069655</v>
      </c>
      <c r="I33" s="88">
        <v>-0.19072404509044319</v>
      </c>
      <c r="J33" s="88">
        <v>-0.37457458863219706</v>
      </c>
      <c r="K33" s="88">
        <v>-1.2794157892978979</v>
      </c>
      <c r="L33" s="87">
        <v>3</v>
      </c>
    </row>
    <row r="34" spans="1:12" x14ac:dyDescent="0.35">
      <c r="A34" s="87">
        <v>33</v>
      </c>
      <c r="B34" s="87">
        <v>1</v>
      </c>
      <c r="C34" s="87">
        <v>0</v>
      </c>
      <c r="D34" s="87">
        <v>0</v>
      </c>
      <c r="E34" s="87">
        <v>1</v>
      </c>
      <c r="F34" s="87">
        <v>0</v>
      </c>
      <c r="G34" s="88">
        <v>-1.1035656495456641</v>
      </c>
      <c r="H34" s="88">
        <v>1.1035656495456641</v>
      </c>
      <c r="I34" s="88">
        <v>-0.19072404509044319</v>
      </c>
      <c r="J34" s="88">
        <v>-0.37457458863219706</v>
      </c>
      <c r="K34" s="88">
        <v>0.76764947357873836</v>
      </c>
      <c r="L34" s="87">
        <v>2</v>
      </c>
    </row>
    <row r="35" spans="1:12" x14ac:dyDescent="0.35">
      <c r="A35" s="87">
        <v>34</v>
      </c>
      <c r="B35" s="87">
        <v>1</v>
      </c>
      <c r="C35" s="87">
        <v>0</v>
      </c>
      <c r="D35" s="87">
        <v>0</v>
      </c>
      <c r="E35" s="87">
        <v>1</v>
      </c>
      <c r="F35" s="87">
        <v>1</v>
      </c>
      <c r="G35" s="88">
        <v>0.88997229802069666</v>
      </c>
      <c r="H35" s="88">
        <v>1.1035656495456641</v>
      </c>
      <c r="I35" s="88">
        <v>-0.19072404509044319</v>
      </c>
      <c r="J35" s="88">
        <v>-0.37457458863219706</v>
      </c>
      <c r="K35" s="88">
        <v>0.76764947357873836</v>
      </c>
      <c r="L35" s="87">
        <v>2</v>
      </c>
    </row>
    <row r="36" spans="1:12" x14ac:dyDescent="0.35">
      <c r="A36" s="87">
        <v>35</v>
      </c>
      <c r="B36" s="87">
        <v>0</v>
      </c>
      <c r="C36" s="87">
        <v>0</v>
      </c>
      <c r="D36" s="87">
        <v>0</v>
      </c>
      <c r="E36" s="87">
        <v>1</v>
      </c>
      <c r="F36" s="87">
        <v>0</v>
      </c>
      <c r="G36" s="88">
        <v>-1.1035656495456641</v>
      </c>
      <c r="H36" s="88">
        <v>1.1035656495456641</v>
      </c>
      <c r="I36" s="88">
        <v>-0.19072404509044319</v>
      </c>
      <c r="J36" s="88">
        <v>-0.37457458863219706</v>
      </c>
      <c r="K36" s="88">
        <v>-1.2794157892978979</v>
      </c>
      <c r="L36" s="87">
        <v>3</v>
      </c>
    </row>
    <row r="37" spans="1:12" x14ac:dyDescent="0.35">
      <c r="A37" s="87">
        <v>36</v>
      </c>
      <c r="B37" s="87">
        <v>1</v>
      </c>
      <c r="C37" s="87">
        <v>0</v>
      </c>
      <c r="D37" s="87">
        <v>1</v>
      </c>
      <c r="E37" s="87">
        <v>0</v>
      </c>
      <c r="F37" s="87">
        <v>1</v>
      </c>
      <c r="G37" s="88">
        <v>0.88997229802069666</v>
      </c>
      <c r="H37" s="88">
        <v>-0.88997229802069655</v>
      </c>
      <c r="I37" s="88">
        <v>-0.19072404509044319</v>
      </c>
      <c r="J37" s="88">
        <v>2.6220221204253789</v>
      </c>
      <c r="K37" s="88">
        <v>0.76764947357873836</v>
      </c>
      <c r="L37" s="87">
        <v>4</v>
      </c>
    </row>
    <row r="38" spans="1:12" x14ac:dyDescent="0.35">
      <c r="A38" s="87">
        <v>37</v>
      </c>
      <c r="B38" s="87">
        <v>1</v>
      </c>
      <c r="C38" s="87">
        <v>0</v>
      </c>
      <c r="D38" s="87">
        <v>0</v>
      </c>
      <c r="E38" s="87">
        <v>1</v>
      </c>
      <c r="F38" s="87">
        <v>1</v>
      </c>
      <c r="G38" s="88">
        <v>0.88997229802069666</v>
      </c>
      <c r="H38" s="88">
        <v>1.1035656495456641</v>
      </c>
      <c r="I38" s="88">
        <v>-0.19072404509044319</v>
      </c>
      <c r="J38" s="88">
        <v>-0.37457458863219706</v>
      </c>
      <c r="K38" s="88">
        <v>0.76764947357873836</v>
      </c>
      <c r="L38" s="87">
        <v>2</v>
      </c>
    </row>
    <row r="39" spans="1:12" x14ac:dyDescent="0.35">
      <c r="A39" s="87">
        <v>38</v>
      </c>
      <c r="B39" s="87">
        <v>0</v>
      </c>
      <c r="C39" s="87">
        <v>0</v>
      </c>
      <c r="D39" s="87">
        <v>0</v>
      </c>
      <c r="E39" s="87">
        <v>0</v>
      </c>
      <c r="F39" s="87">
        <v>1</v>
      </c>
      <c r="G39" s="88">
        <v>0.88997229802069666</v>
      </c>
      <c r="H39" s="88">
        <v>-0.88997229802069655</v>
      </c>
      <c r="I39" s="88">
        <v>-0.19072404509044319</v>
      </c>
      <c r="J39" s="88">
        <v>-0.37457458863219706</v>
      </c>
      <c r="K39" s="88">
        <v>-1.2794157892978979</v>
      </c>
      <c r="L39" s="87">
        <v>3</v>
      </c>
    </row>
    <row r="40" spans="1:12" x14ac:dyDescent="0.35">
      <c r="A40" s="87">
        <v>39</v>
      </c>
      <c r="B40" s="87">
        <v>0</v>
      </c>
      <c r="C40" s="87">
        <v>0</v>
      </c>
      <c r="D40" s="87">
        <v>0</v>
      </c>
      <c r="E40" s="87">
        <v>0</v>
      </c>
      <c r="F40" s="87">
        <v>1</v>
      </c>
      <c r="G40" s="88">
        <v>0.88997229802069666</v>
      </c>
      <c r="H40" s="88">
        <v>-0.88997229802069655</v>
      </c>
      <c r="I40" s="88">
        <v>-0.19072404509044319</v>
      </c>
      <c r="J40" s="88">
        <v>-0.37457458863219706</v>
      </c>
      <c r="K40" s="88">
        <v>-1.2794157892978979</v>
      </c>
      <c r="L40" s="87">
        <v>3</v>
      </c>
    </row>
    <row r="41" spans="1:12" x14ac:dyDescent="0.35">
      <c r="A41" s="87">
        <v>40</v>
      </c>
      <c r="B41" s="87">
        <v>1</v>
      </c>
      <c r="C41" s="87">
        <v>0</v>
      </c>
      <c r="D41" s="87">
        <v>0</v>
      </c>
      <c r="E41" s="87">
        <v>1</v>
      </c>
      <c r="F41" s="87">
        <v>0</v>
      </c>
      <c r="G41" s="88">
        <v>-1.1035656495456641</v>
      </c>
      <c r="H41" s="88">
        <v>1.1035656495456641</v>
      </c>
      <c r="I41" s="88">
        <v>-0.19072404509044319</v>
      </c>
      <c r="J41" s="88">
        <v>-0.37457458863219706</v>
      </c>
      <c r="K41" s="88">
        <v>0.76764947357873836</v>
      </c>
      <c r="L41" s="87">
        <v>2</v>
      </c>
    </row>
    <row r="42" spans="1:12" x14ac:dyDescent="0.35">
      <c r="A42" s="87">
        <v>41</v>
      </c>
      <c r="B42" s="87">
        <v>1</v>
      </c>
      <c r="C42" s="87">
        <v>1</v>
      </c>
      <c r="D42" s="87">
        <v>0</v>
      </c>
      <c r="E42" s="87">
        <v>1</v>
      </c>
      <c r="F42" s="87">
        <v>0</v>
      </c>
      <c r="G42" s="88">
        <v>-1.1035656495456641</v>
      </c>
      <c r="H42" s="88">
        <v>1.1035656495456641</v>
      </c>
      <c r="I42" s="88">
        <v>5.1495492174419644</v>
      </c>
      <c r="J42" s="88">
        <v>-0.37457458863219706</v>
      </c>
      <c r="K42" s="88">
        <v>0.76764947357873836</v>
      </c>
      <c r="L42" s="87">
        <v>1</v>
      </c>
    </row>
    <row r="43" spans="1:12" x14ac:dyDescent="0.35">
      <c r="A43" s="87">
        <v>42</v>
      </c>
      <c r="B43" s="87">
        <v>0</v>
      </c>
      <c r="C43" s="87">
        <v>0</v>
      </c>
      <c r="D43" s="87">
        <v>0</v>
      </c>
      <c r="E43" s="87">
        <v>1</v>
      </c>
      <c r="F43" s="87">
        <v>1</v>
      </c>
      <c r="G43" s="88">
        <v>0.88997229802069666</v>
      </c>
      <c r="H43" s="88">
        <v>1.1035656495456641</v>
      </c>
      <c r="I43" s="88">
        <v>-0.19072404509044319</v>
      </c>
      <c r="J43" s="88">
        <v>-0.37457458863219706</v>
      </c>
      <c r="K43" s="88">
        <v>-1.2794157892978979</v>
      </c>
      <c r="L43" s="87">
        <v>3</v>
      </c>
    </row>
    <row r="44" spans="1:12" x14ac:dyDescent="0.35">
      <c r="A44" s="87">
        <v>43</v>
      </c>
      <c r="B44" s="87">
        <v>0</v>
      </c>
      <c r="C44" s="87">
        <v>0</v>
      </c>
      <c r="D44" s="87">
        <v>0</v>
      </c>
      <c r="E44" s="87">
        <v>0</v>
      </c>
      <c r="F44" s="87">
        <v>1</v>
      </c>
      <c r="G44" s="88">
        <v>0.88997229802069666</v>
      </c>
      <c r="H44" s="88">
        <v>-0.88997229802069655</v>
      </c>
      <c r="I44" s="88">
        <v>-0.19072404509044319</v>
      </c>
      <c r="J44" s="88">
        <v>-0.37457458863219706</v>
      </c>
      <c r="K44" s="88">
        <v>-1.2794157892978979</v>
      </c>
      <c r="L44" s="87">
        <v>3</v>
      </c>
    </row>
    <row r="45" spans="1:12" x14ac:dyDescent="0.35">
      <c r="A45" s="87">
        <v>44</v>
      </c>
      <c r="B45" s="87">
        <v>1</v>
      </c>
      <c r="C45" s="87">
        <v>0</v>
      </c>
      <c r="D45" s="87">
        <v>0</v>
      </c>
      <c r="E45" s="87">
        <v>0</v>
      </c>
      <c r="F45" s="87">
        <v>1</v>
      </c>
      <c r="G45" s="88">
        <v>0.88997229802069666</v>
      </c>
      <c r="H45" s="88">
        <v>-0.88997229802069655</v>
      </c>
      <c r="I45" s="88">
        <v>-0.19072404509044319</v>
      </c>
      <c r="J45" s="88">
        <v>-0.37457458863219706</v>
      </c>
      <c r="K45" s="88">
        <v>0.76764947357873836</v>
      </c>
      <c r="L45" s="87">
        <v>2</v>
      </c>
    </row>
    <row r="46" spans="1:12" x14ac:dyDescent="0.35">
      <c r="A46" s="87">
        <v>45</v>
      </c>
      <c r="B46" s="87">
        <v>0</v>
      </c>
      <c r="C46" s="87">
        <v>0</v>
      </c>
      <c r="D46" s="87">
        <v>1</v>
      </c>
      <c r="E46" s="87">
        <v>0</v>
      </c>
      <c r="F46" s="87">
        <v>0</v>
      </c>
      <c r="G46" s="88">
        <v>-1.1035656495456641</v>
      </c>
      <c r="H46" s="88">
        <v>-0.88997229802069655</v>
      </c>
      <c r="I46" s="88">
        <v>-0.19072404509044319</v>
      </c>
      <c r="J46" s="88">
        <v>2.6220221204253789</v>
      </c>
      <c r="K46" s="88">
        <v>-1.2794157892978979</v>
      </c>
      <c r="L46" s="87">
        <v>4</v>
      </c>
    </row>
    <row r="47" spans="1:12" x14ac:dyDescent="0.35">
      <c r="A47" s="87">
        <v>46</v>
      </c>
      <c r="B47" s="87">
        <v>1</v>
      </c>
      <c r="C47" s="87">
        <v>0</v>
      </c>
      <c r="D47" s="87">
        <v>0</v>
      </c>
      <c r="E47" s="87">
        <v>1</v>
      </c>
      <c r="F47" s="87">
        <v>0</v>
      </c>
      <c r="G47" s="88">
        <v>-1.1035656495456641</v>
      </c>
      <c r="H47" s="88">
        <v>1.1035656495456641</v>
      </c>
      <c r="I47" s="88">
        <v>-0.19072404509044319</v>
      </c>
      <c r="J47" s="88">
        <v>-0.37457458863219706</v>
      </c>
      <c r="K47" s="88">
        <v>0.76764947357873836</v>
      </c>
      <c r="L47" s="87">
        <v>2</v>
      </c>
    </row>
    <row r="48" spans="1:12" x14ac:dyDescent="0.35">
      <c r="A48" s="87">
        <v>47</v>
      </c>
      <c r="B48" s="87">
        <v>0</v>
      </c>
      <c r="C48" s="87">
        <v>0</v>
      </c>
      <c r="D48" s="87">
        <v>0</v>
      </c>
      <c r="E48" s="87">
        <v>0</v>
      </c>
      <c r="F48" s="87">
        <v>1</v>
      </c>
      <c r="G48" s="88">
        <v>0.88997229802069666</v>
      </c>
      <c r="H48" s="88">
        <v>-0.88997229802069655</v>
      </c>
      <c r="I48" s="88">
        <v>-0.19072404509044319</v>
      </c>
      <c r="J48" s="88">
        <v>-0.37457458863219706</v>
      </c>
      <c r="K48" s="88">
        <v>-1.2794157892978979</v>
      </c>
      <c r="L48" s="87">
        <v>3</v>
      </c>
    </row>
    <row r="49" spans="1:12" x14ac:dyDescent="0.35">
      <c r="A49" s="87">
        <v>48</v>
      </c>
      <c r="B49" s="87">
        <v>0</v>
      </c>
      <c r="C49" s="87">
        <v>0</v>
      </c>
      <c r="D49" s="87">
        <v>0</v>
      </c>
      <c r="E49" s="87">
        <v>0</v>
      </c>
      <c r="F49" s="87">
        <v>1</v>
      </c>
      <c r="G49" s="88">
        <v>0.88997229802069666</v>
      </c>
      <c r="H49" s="88">
        <v>-0.88997229802069655</v>
      </c>
      <c r="I49" s="88">
        <v>-0.19072404509044319</v>
      </c>
      <c r="J49" s="88">
        <v>-0.37457458863219706</v>
      </c>
      <c r="K49" s="88">
        <v>-1.2794157892978979</v>
      </c>
      <c r="L49" s="87">
        <v>3</v>
      </c>
    </row>
    <row r="50" spans="1:12" x14ac:dyDescent="0.35">
      <c r="A50" s="87">
        <v>49</v>
      </c>
      <c r="B50" s="87">
        <v>0</v>
      </c>
      <c r="C50" s="87">
        <v>0</v>
      </c>
      <c r="D50" s="87">
        <v>0</v>
      </c>
      <c r="E50" s="87">
        <v>1</v>
      </c>
      <c r="F50" s="87">
        <v>1</v>
      </c>
      <c r="G50" s="88">
        <v>0.88997229802069666</v>
      </c>
      <c r="H50" s="88">
        <v>1.1035656495456641</v>
      </c>
      <c r="I50" s="88">
        <v>-0.19072404509044319</v>
      </c>
      <c r="J50" s="88">
        <v>-0.37457458863219706</v>
      </c>
      <c r="K50" s="88">
        <v>-1.2794157892978979</v>
      </c>
      <c r="L50" s="87">
        <v>3</v>
      </c>
    </row>
    <row r="51" spans="1:12" x14ac:dyDescent="0.35">
      <c r="A51" s="87">
        <v>50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8">
        <v>-1.1035656495456641</v>
      </c>
      <c r="H51" s="88">
        <v>-0.88997229802069655</v>
      </c>
      <c r="I51" s="88">
        <v>-0.19072404509044319</v>
      </c>
      <c r="J51" s="88">
        <v>-0.37457458863219706</v>
      </c>
      <c r="K51" s="88">
        <v>-1.2794157892978979</v>
      </c>
      <c r="L51" s="87">
        <v>3</v>
      </c>
    </row>
    <row r="52" spans="1:12" x14ac:dyDescent="0.35">
      <c r="A52" s="87">
        <v>51</v>
      </c>
      <c r="B52" s="87">
        <v>0</v>
      </c>
      <c r="C52" s="87">
        <v>0</v>
      </c>
      <c r="D52" s="87">
        <v>0</v>
      </c>
      <c r="E52" s="87">
        <v>0</v>
      </c>
      <c r="F52" s="87">
        <v>1</v>
      </c>
      <c r="G52" s="88">
        <v>0.88997229802069666</v>
      </c>
      <c r="H52" s="88">
        <v>-0.88997229802069655</v>
      </c>
      <c r="I52" s="88">
        <v>-0.19072404509044319</v>
      </c>
      <c r="J52" s="88">
        <v>-0.37457458863219706</v>
      </c>
      <c r="K52" s="88">
        <v>-1.2794157892978979</v>
      </c>
      <c r="L52" s="87">
        <v>3</v>
      </c>
    </row>
    <row r="53" spans="1:12" x14ac:dyDescent="0.35">
      <c r="A53" s="87">
        <v>52</v>
      </c>
      <c r="B53" s="87">
        <v>0</v>
      </c>
      <c r="C53" s="87">
        <v>0</v>
      </c>
      <c r="D53" s="87">
        <v>0</v>
      </c>
      <c r="E53" s="87">
        <v>1</v>
      </c>
      <c r="F53" s="87">
        <v>1</v>
      </c>
      <c r="G53" s="88">
        <v>0.88997229802069666</v>
      </c>
      <c r="H53" s="88">
        <v>1.1035656495456641</v>
      </c>
      <c r="I53" s="88">
        <v>-0.19072404509044319</v>
      </c>
      <c r="J53" s="88">
        <v>-0.37457458863219706</v>
      </c>
      <c r="K53" s="88">
        <v>-1.2794157892978979</v>
      </c>
      <c r="L53" s="87">
        <v>3</v>
      </c>
    </row>
    <row r="54" spans="1:12" x14ac:dyDescent="0.35">
      <c r="A54" s="87">
        <v>53</v>
      </c>
      <c r="B54" s="87">
        <v>0</v>
      </c>
      <c r="C54" s="87">
        <v>0</v>
      </c>
      <c r="D54" s="87">
        <v>0</v>
      </c>
      <c r="E54" s="87">
        <v>0</v>
      </c>
      <c r="F54" s="87">
        <v>0</v>
      </c>
      <c r="G54" s="88">
        <v>-1.1035656495456641</v>
      </c>
      <c r="H54" s="88">
        <v>-0.88997229802069655</v>
      </c>
      <c r="I54" s="88">
        <v>-0.19072404509044319</v>
      </c>
      <c r="J54" s="88">
        <v>-0.37457458863219706</v>
      </c>
      <c r="K54" s="88">
        <v>-1.2794157892978979</v>
      </c>
      <c r="L54" s="87">
        <v>3</v>
      </c>
    </row>
    <row r="55" spans="1:12" x14ac:dyDescent="0.35">
      <c r="A55" s="87">
        <v>54</v>
      </c>
      <c r="B55" s="87">
        <v>0</v>
      </c>
      <c r="C55" s="87">
        <v>0</v>
      </c>
      <c r="D55" s="87">
        <v>0</v>
      </c>
      <c r="E55" s="87">
        <v>1</v>
      </c>
      <c r="F55" s="87">
        <v>1</v>
      </c>
      <c r="G55" s="88">
        <v>0.88997229802069666</v>
      </c>
      <c r="H55" s="88">
        <v>1.1035656495456641</v>
      </c>
      <c r="I55" s="88">
        <v>-0.19072404509044319</v>
      </c>
      <c r="J55" s="88">
        <v>-0.37457458863219706</v>
      </c>
      <c r="K55" s="88">
        <v>-1.2794157892978979</v>
      </c>
      <c r="L55" s="87">
        <v>3</v>
      </c>
    </row>
    <row r="56" spans="1:12" x14ac:dyDescent="0.35">
      <c r="A56" s="87">
        <v>55</v>
      </c>
      <c r="B56" s="87">
        <v>0</v>
      </c>
      <c r="C56" s="87">
        <v>0</v>
      </c>
      <c r="D56" s="87">
        <v>0</v>
      </c>
      <c r="E56" s="87">
        <v>1</v>
      </c>
      <c r="F56" s="87">
        <v>1</v>
      </c>
      <c r="G56" s="88">
        <v>0.88997229802069666</v>
      </c>
      <c r="H56" s="88">
        <v>1.1035656495456641</v>
      </c>
      <c r="I56" s="88">
        <v>-0.19072404509044319</v>
      </c>
      <c r="J56" s="88">
        <v>-0.37457458863219706</v>
      </c>
      <c r="K56" s="88">
        <v>-1.2794157892978979</v>
      </c>
      <c r="L56" s="87">
        <v>3</v>
      </c>
    </row>
    <row r="57" spans="1:12" x14ac:dyDescent="0.35">
      <c r="A57" s="87">
        <v>56</v>
      </c>
      <c r="B57" s="87">
        <v>0</v>
      </c>
      <c r="C57" s="87">
        <v>0</v>
      </c>
      <c r="D57" s="87">
        <v>0</v>
      </c>
      <c r="E57" s="87">
        <v>0</v>
      </c>
      <c r="F57" s="87">
        <v>0</v>
      </c>
      <c r="G57" s="88">
        <v>-1.1035656495456641</v>
      </c>
      <c r="H57" s="88">
        <v>-0.88997229802069655</v>
      </c>
      <c r="I57" s="88">
        <v>-0.19072404509044319</v>
      </c>
      <c r="J57" s="88">
        <v>-0.37457458863219706</v>
      </c>
      <c r="K57" s="88">
        <v>-1.2794157892978979</v>
      </c>
      <c r="L57" s="87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96FC-B391-486F-9E27-A3F2F076AC71}">
  <dimension ref="A3:H36"/>
  <sheetViews>
    <sheetView topLeftCell="A16" zoomScale="66" workbookViewId="0">
      <selection activeCell="H14" sqref="H14"/>
    </sheetView>
  </sheetViews>
  <sheetFormatPr defaultRowHeight="14.5" x14ac:dyDescent="0.35"/>
  <cols>
    <col min="1" max="1" width="14.1796875" style="89" bestFit="1" customWidth="1"/>
    <col min="2" max="2" width="21.54296875" style="89" customWidth="1"/>
    <col min="3" max="3" width="22.6328125" style="89" customWidth="1"/>
    <col min="4" max="4" width="23.7265625" style="89" customWidth="1"/>
    <col min="5" max="5" width="13.1796875" style="89" bestFit="1" customWidth="1"/>
    <col min="6" max="6" width="33.1796875" style="89" bestFit="1" customWidth="1"/>
    <col min="7" max="7" width="40.90625" style="89" bestFit="1" customWidth="1"/>
    <col min="8" max="8" width="43.81640625" style="89" bestFit="1" customWidth="1"/>
    <col min="9" max="16384" width="8.7265625" style="89"/>
  </cols>
  <sheetData>
    <row r="3" spans="1:8" x14ac:dyDescent="0.35">
      <c r="A3" s="108" t="s">
        <v>318</v>
      </c>
      <c r="B3" t="s">
        <v>361</v>
      </c>
      <c r="C3" t="s">
        <v>362</v>
      </c>
      <c r="D3" t="s">
        <v>364</v>
      </c>
      <c r="E3" t="s">
        <v>363</v>
      </c>
      <c r="F3" t="s">
        <v>365</v>
      </c>
      <c r="G3" s="117" t="s">
        <v>319</v>
      </c>
      <c r="H3" s="117" t="s">
        <v>320</v>
      </c>
    </row>
    <row r="4" spans="1:8" x14ac:dyDescent="0.35">
      <c r="A4" s="109" t="s">
        <v>366</v>
      </c>
      <c r="B4" s="95">
        <v>1</v>
      </c>
      <c r="C4" s="95">
        <v>1</v>
      </c>
      <c r="D4" s="95">
        <v>1</v>
      </c>
      <c r="E4" s="95">
        <v>0</v>
      </c>
      <c r="F4" s="95">
        <v>0</v>
      </c>
      <c r="G4" s="110" t="s">
        <v>321</v>
      </c>
      <c r="H4" s="110" t="s">
        <v>322</v>
      </c>
    </row>
    <row r="5" spans="1:8" x14ac:dyDescent="0.35">
      <c r="A5" s="109" t="s">
        <v>367</v>
      </c>
      <c r="B5" s="95">
        <v>1</v>
      </c>
      <c r="C5" s="95">
        <v>0</v>
      </c>
      <c r="D5" s="95">
        <v>0.76190476190476186</v>
      </c>
      <c r="E5" s="95">
        <v>0</v>
      </c>
      <c r="F5" s="95">
        <v>0.61904761904761907</v>
      </c>
      <c r="G5" s="110" t="s">
        <v>323</v>
      </c>
      <c r="H5" s="110" t="s">
        <v>324</v>
      </c>
    </row>
    <row r="6" spans="1:8" x14ac:dyDescent="0.35">
      <c r="A6" s="109" t="s">
        <v>368</v>
      </c>
      <c r="B6" s="95">
        <v>0</v>
      </c>
      <c r="C6" s="95">
        <v>0</v>
      </c>
      <c r="D6" s="95">
        <v>0.36842105263157893</v>
      </c>
      <c r="E6" s="95">
        <v>0</v>
      </c>
      <c r="F6" s="95">
        <v>0.68421052631578949</v>
      </c>
      <c r="G6" s="110" t="s">
        <v>325</v>
      </c>
      <c r="H6" s="110" t="s">
        <v>326</v>
      </c>
    </row>
    <row r="7" spans="1:8" x14ac:dyDescent="0.35">
      <c r="A7" s="109" t="s">
        <v>369</v>
      </c>
      <c r="B7" s="95">
        <v>0.7142857142857143</v>
      </c>
      <c r="C7" s="95">
        <v>0</v>
      </c>
      <c r="D7" s="95">
        <v>0</v>
      </c>
      <c r="E7" s="95">
        <v>1</v>
      </c>
      <c r="F7" s="95">
        <v>0.7142857142857143</v>
      </c>
      <c r="G7" s="110" t="s">
        <v>327</v>
      </c>
      <c r="H7" s="110" t="s">
        <v>328</v>
      </c>
    </row>
    <row r="8" spans="1:8" x14ac:dyDescent="0.35">
      <c r="A8" s="109" t="s">
        <v>370</v>
      </c>
      <c r="B8" s="95">
        <v>1</v>
      </c>
      <c r="C8" s="95">
        <v>0</v>
      </c>
      <c r="D8" s="95">
        <v>0</v>
      </c>
      <c r="E8" s="95">
        <v>0</v>
      </c>
      <c r="F8" s="95">
        <v>0</v>
      </c>
      <c r="G8" s="110" t="s">
        <v>329</v>
      </c>
      <c r="H8" s="110" t="s">
        <v>330</v>
      </c>
    </row>
    <row r="9" spans="1:8" x14ac:dyDescent="0.35">
      <c r="A9" s="109" t="s">
        <v>331</v>
      </c>
      <c r="B9" s="5">
        <v>0.625</v>
      </c>
      <c r="C9" s="5">
        <v>3.5714285714285712E-2</v>
      </c>
      <c r="D9" s="5">
        <v>0.44642857142857145</v>
      </c>
      <c r="E9" s="5">
        <v>0.125</v>
      </c>
      <c r="F9" s="5">
        <v>0.5535714285714286</v>
      </c>
      <c r="G9" s="110"/>
      <c r="H9" s="110"/>
    </row>
    <row r="13" spans="1:8" x14ac:dyDescent="0.35">
      <c r="A13" s="130" t="s">
        <v>332</v>
      </c>
      <c r="B13" s="130"/>
      <c r="C13" s="130"/>
      <c r="D13" s="130"/>
    </row>
    <row r="14" spans="1:8" x14ac:dyDescent="0.35">
      <c r="A14" s="33" t="s">
        <v>317</v>
      </c>
      <c r="B14" s="33" t="s">
        <v>371</v>
      </c>
      <c r="C14" s="33" t="s">
        <v>334</v>
      </c>
      <c r="D14" s="33" t="s">
        <v>335</v>
      </c>
    </row>
    <row r="15" spans="1:8" ht="29" x14ac:dyDescent="0.35">
      <c r="A15" s="33">
        <v>1</v>
      </c>
      <c r="B15" s="91" t="s">
        <v>336</v>
      </c>
      <c r="C15" s="91" t="s">
        <v>337</v>
      </c>
      <c r="D15" s="91" t="s">
        <v>338</v>
      </c>
    </row>
    <row r="16" spans="1:8" ht="29" x14ac:dyDescent="0.35">
      <c r="A16" s="33">
        <v>2</v>
      </c>
      <c r="B16" s="91" t="s">
        <v>339</v>
      </c>
      <c r="C16" s="91" t="s">
        <v>340</v>
      </c>
      <c r="D16" s="91" t="s">
        <v>341</v>
      </c>
    </row>
    <row r="17" spans="1:6" ht="43" customHeight="1" x14ac:dyDescent="0.35">
      <c r="A17" s="33">
        <v>3</v>
      </c>
      <c r="B17" s="91" t="s">
        <v>342</v>
      </c>
      <c r="C17" s="91" t="s">
        <v>343</v>
      </c>
      <c r="D17" s="91" t="s">
        <v>344</v>
      </c>
    </row>
    <row r="18" spans="1:6" ht="43.5" x14ac:dyDescent="0.35">
      <c r="A18" s="33">
        <v>4</v>
      </c>
      <c r="B18" s="91" t="s">
        <v>345</v>
      </c>
      <c r="C18" s="91" t="s">
        <v>346</v>
      </c>
      <c r="D18" s="91" t="s">
        <v>347</v>
      </c>
    </row>
    <row r="19" spans="1:6" ht="43.5" x14ac:dyDescent="0.35">
      <c r="A19" s="33">
        <v>5</v>
      </c>
      <c r="B19" s="91" t="s">
        <v>348</v>
      </c>
      <c r="C19" s="91" t="s">
        <v>349</v>
      </c>
      <c r="D19" s="91" t="s">
        <v>350</v>
      </c>
    </row>
    <row r="21" spans="1:6" x14ac:dyDescent="0.35">
      <c r="A21" s="118" t="s">
        <v>351</v>
      </c>
      <c r="B21" s="118"/>
      <c r="C21" s="118"/>
      <c r="D21" s="118"/>
      <c r="E21" s="118"/>
      <c r="F21" s="118"/>
    </row>
    <row r="22" spans="1:6" x14ac:dyDescent="0.35">
      <c r="A22" s="33" t="s">
        <v>201</v>
      </c>
      <c r="B22" s="33" t="s">
        <v>202</v>
      </c>
      <c r="C22" s="33" t="s">
        <v>248</v>
      </c>
      <c r="D22" s="33" t="s">
        <v>204</v>
      </c>
      <c r="E22" s="33" t="s">
        <v>205</v>
      </c>
      <c r="F22" s="33" t="s">
        <v>206</v>
      </c>
    </row>
    <row r="23" spans="1:6" x14ac:dyDescent="0.35">
      <c r="A23" s="33">
        <v>1</v>
      </c>
      <c r="B23" s="91" t="s">
        <v>249</v>
      </c>
      <c r="C23" s="24" t="s">
        <v>215</v>
      </c>
      <c r="D23" s="24" t="s">
        <v>251</v>
      </c>
      <c r="E23" s="24" t="s">
        <v>219</v>
      </c>
      <c r="F23" s="34">
        <v>399</v>
      </c>
    </row>
    <row r="24" spans="1:6" x14ac:dyDescent="0.35">
      <c r="A24" s="33">
        <v>2</v>
      </c>
      <c r="B24" s="91" t="s">
        <v>249</v>
      </c>
      <c r="C24" s="24" t="s">
        <v>208</v>
      </c>
      <c r="D24" s="24" t="s">
        <v>251</v>
      </c>
      <c r="E24" s="24" t="s">
        <v>210</v>
      </c>
      <c r="F24" s="34">
        <v>249</v>
      </c>
    </row>
    <row r="25" spans="1:6" x14ac:dyDescent="0.35">
      <c r="A25" s="33">
        <v>3</v>
      </c>
      <c r="B25" s="91" t="s">
        <v>252</v>
      </c>
      <c r="C25" s="24" t="s">
        <v>208</v>
      </c>
      <c r="D25" s="24" t="s">
        <v>250</v>
      </c>
      <c r="E25" s="24" t="s">
        <v>219</v>
      </c>
      <c r="F25" s="34">
        <v>199</v>
      </c>
    </row>
    <row r="26" spans="1:6" x14ac:dyDescent="0.35">
      <c r="A26" s="33">
        <v>4</v>
      </c>
      <c r="B26" s="91" t="s">
        <v>252</v>
      </c>
      <c r="C26" s="24" t="s">
        <v>215</v>
      </c>
      <c r="D26" s="24" t="s">
        <v>251</v>
      </c>
      <c r="E26" s="24" t="s">
        <v>210</v>
      </c>
      <c r="F26" s="34">
        <v>199</v>
      </c>
    </row>
    <row r="27" spans="1:6" x14ac:dyDescent="0.35">
      <c r="A27" s="33">
        <v>5</v>
      </c>
      <c r="B27" s="91" t="s">
        <v>252</v>
      </c>
      <c r="C27" s="24" t="s">
        <v>208</v>
      </c>
      <c r="D27" s="24" t="s">
        <v>250</v>
      </c>
      <c r="E27" s="24" t="s">
        <v>210</v>
      </c>
      <c r="F27" s="34">
        <v>199</v>
      </c>
    </row>
    <row r="30" spans="1:6" x14ac:dyDescent="0.35">
      <c r="A30" s="118" t="s">
        <v>351</v>
      </c>
      <c r="B30" s="118"/>
      <c r="C30" s="118"/>
      <c r="D30" s="118"/>
      <c r="E30" s="118"/>
      <c r="F30" s="118"/>
    </row>
    <row r="31" spans="1:6" x14ac:dyDescent="0.35">
      <c r="A31" s="33" t="s">
        <v>201</v>
      </c>
      <c r="B31" s="33" t="s">
        <v>202</v>
      </c>
      <c r="C31" s="33" t="s">
        <v>248</v>
      </c>
      <c r="D31" s="33" t="s">
        <v>204</v>
      </c>
      <c r="E31" s="33" t="s">
        <v>205</v>
      </c>
      <c r="F31" s="33" t="s">
        <v>206</v>
      </c>
    </row>
    <row r="32" spans="1:6" x14ac:dyDescent="0.35">
      <c r="A32" s="33">
        <v>1</v>
      </c>
      <c r="B32" s="24">
        <v>1</v>
      </c>
      <c r="C32" s="24">
        <v>1</v>
      </c>
      <c r="D32" s="24">
        <v>1</v>
      </c>
      <c r="E32" s="24">
        <v>1</v>
      </c>
      <c r="F32" s="24">
        <v>2</v>
      </c>
    </row>
    <row r="33" spans="1:6" x14ac:dyDescent="0.35">
      <c r="A33" s="33">
        <v>2</v>
      </c>
      <c r="B33" s="24">
        <v>1</v>
      </c>
      <c r="C33" s="24">
        <v>0</v>
      </c>
      <c r="D33" s="24">
        <v>1</v>
      </c>
      <c r="E33" s="24">
        <v>0</v>
      </c>
      <c r="F33" s="24">
        <v>1</v>
      </c>
    </row>
    <row r="34" spans="1:6" x14ac:dyDescent="0.35">
      <c r="A34" s="33">
        <v>3</v>
      </c>
      <c r="B34" s="24">
        <v>0</v>
      </c>
      <c r="C34" s="24">
        <v>0</v>
      </c>
      <c r="D34" s="24">
        <v>0</v>
      </c>
      <c r="E34" s="24">
        <v>1</v>
      </c>
      <c r="F34" s="24">
        <v>0</v>
      </c>
    </row>
    <row r="35" spans="1:6" x14ac:dyDescent="0.35">
      <c r="A35" s="33">
        <v>4</v>
      </c>
      <c r="B35" s="24">
        <v>0</v>
      </c>
      <c r="C35" s="24">
        <v>1</v>
      </c>
      <c r="D35" s="24">
        <v>1</v>
      </c>
      <c r="E35" s="24">
        <v>0</v>
      </c>
      <c r="F35" s="24">
        <v>0</v>
      </c>
    </row>
    <row r="36" spans="1:6" x14ac:dyDescent="0.35">
      <c r="A36" s="33">
        <v>5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</row>
  </sheetData>
  <mergeCells count="3">
    <mergeCell ref="A13:D13"/>
    <mergeCell ref="A21:F21"/>
    <mergeCell ref="A30:F30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2FB5-F735-4FB3-B866-D3120E5D4CB2}">
  <dimension ref="A1:K15"/>
  <sheetViews>
    <sheetView topLeftCell="C2" workbookViewId="0">
      <selection activeCell="E6" sqref="E6"/>
    </sheetView>
  </sheetViews>
  <sheetFormatPr defaultRowHeight="14.5" x14ac:dyDescent="0.35"/>
  <cols>
    <col min="2" max="2" width="21.6328125" customWidth="1"/>
    <col min="3" max="3" width="29.08984375" customWidth="1"/>
    <col min="4" max="4" width="27.1796875" customWidth="1"/>
    <col min="7" max="7" width="19.81640625" customWidth="1"/>
    <col min="8" max="8" width="17.81640625" customWidth="1"/>
    <col min="9" max="9" width="14.90625" customWidth="1"/>
    <col min="10" max="10" width="10.7265625" customWidth="1"/>
    <col min="11" max="11" width="10.26953125" customWidth="1"/>
  </cols>
  <sheetData>
    <row r="1" spans="1:11" x14ac:dyDescent="0.35">
      <c r="A1" s="130" t="s">
        <v>332</v>
      </c>
      <c r="B1" s="130"/>
      <c r="C1" s="130"/>
      <c r="D1" s="130"/>
      <c r="F1" s="118" t="s">
        <v>351</v>
      </c>
      <c r="G1" s="118"/>
      <c r="H1" s="118"/>
      <c r="I1" s="118"/>
      <c r="J1" s="118"/>
      <c r="K1" s="118"/>
    </row>
    <row r="2" spans="1:11" x14ac:dyDescent="0.35">
      <c r="A2" s="33" t="s">
        <v>317</v>
      </c>
      <c r="B2" s="33" t="s">
        <v>333</v>
      </c>
      <c r="C2" s="33" t="s">
        <v>334</v>
      </c>
      <c r="D2" s="33" t="s">
        <v>335</v>
      </c>
      <c r="F2" s="33" t="s">
        <v>201</v>
      </c>
      <c r="G2" s="33" t="s">
        <v>202</v>
      </c>
      <c r="H2" s="33" t="s">
        <v>248</v>
      </c>
      <c r="I2" s="33" t="s">
        <v>204</v>
      </c>
      <c r="J2" s="33" t="s">
        <v>205</v>
      </c>
      <c r="K2" s="33" t="s">
        <v>206</v>
      </c>
    </row>
    <row r="3" spans="1:11" ht="29" x14ac:dyDescent="0.35">
      <c r="A3" s="90">
        <v>1</v>
      </c>
      <c r="B3" s="91" t="s">
        <v>336</v>
      </c>
      <c r="C3" s="91" t="s">
        <v>337</v>
      </c>
      <c r="D3" s="91" t="s">
        <v>338</v>
      </c>
      <c r="F3" s="33">
        <v>1</v>
      </c>
      <c r="G3" s="91" t="s">
        <v>249</v>
      </c>
      <c r="H3" s="24" t="s">
        <v>215</v>
      </c>
      <c r="I3" s="24" t="s">
        <v>251</v>
      </c>
      <c r="J3" s="24" t="s">
        <v>219</v>
      </c>
      <c r="K3" s="34">
        <v>399</v>
      </c>
    </row>
    <row r="4" spans="1:11" ht="29" x14ac:dyDescent="0.35">
      <c r="A4" s="90">
        <v>2</v>
      </c>
      <c r="B4" s="91" t="s">
        <v>339</v>
      </c>
      <c r="C4" s="91" t="s">
        <v>340</v>
      </c>
      <c r="D4" s="91" t="s">
        <v>341</v>
      </c>
      <c r="F4" s="33">
        <v>2</v>
      </c>
      <c r="G4" s="91" t="s">
        <v>249</v>
      </c>
      <c r="H4" s="24" t="s">
        <v>208</v>
      </c>
      <c r="I4" s="24" t="s">
        <v>251</v>
      </c>
      <c r="J4" s="24" t="s">
        <v>210</v>
      </c>
      <c r="K4" s="34">
        <v>249</v>
      </c>
    </row>
    <row r="5" spans="1:11" ht="29" x14ac:dyDescent="0.35">
      <c r="A5" s="90">
        <v>3</v>
      </c>
      <c r="B5" s="91" t="s">
        <v>342</v>
      </c>
      <c r="C5" s="91" t="s">
        <v>343</v>
      </c>
      <c r="D5" s="91" t="s">
        <v>344</v>
      </c>
      <c r="F5" s="33">
        <v>3</v>
      </c>
      <c r="G5" s="91" t="s">
        <v>252</v>
      </c>
      <c r="H5" s="24" t="s">
        <v>208</v>
      </c>
      <c r="I5" s="24" t="s">
        <v>250</v>
      </c>
      <c r="J5" s="24" t="s">
        <v>219</v>
      </c>
      <c r="K5" s="34">
        <v>199</v>
      </c>
    </row>
    <row r="6" spans="1:11" ht="29" x14ac:dyDescent="0.35">
      <c r="A6" s="90">
        <v>4</v>
      </c>
      <c r="B6" s="91" t="s">
        <v>345</v>
      </c>
      <c r="C6" s="91" t="s">
        <v>346</v>
      </c>
      <c r="D6" s="91" t="s">
        <v>347</v>
      </c>
      <c r="F6" s="33">
        <v>4</v>
      </c>
      <c r="G6" s="91" t="s">
        <v>252</v>
      </c>
      <c r="H6" s="24" t="s">
        <v>215</v>
      </c>
      <c r="I6" s="24" t="s">
        <v>251</v>
      </c>
      <c r="J6" s="24" t="s">
        <v>210</v>
      </c>
      <c r="K6" s="34">
        <v>199</v>
      </c>
    </row>
    <row r="7" spans="1:11" ht="29" x14ac:dyDescent="0.35">
      <c r="A7" s="90">
        <v>5</v>
      </c>
      <c r="B7" s="91" t="s">
        <v>348</v>
      </c>
      <c r="C7" s="91" t="s">
        <v>349</v>
      </c>
      <c r="D7" s="91" t="s">
        <v>350</v>
      </c>
      <c r="F7" s="33">
        <v>5</v>
      </c>
      <c r="G7" s="91" t="s">
        <v>252</v>
      </c>
      <c r="H7" s="24" t="s">
        <v>208</v>
      </c>
      <c r="I7" s="24" t="s">
        <v>250</v>
      </c>
      <c r="J7" s="24" t="s">
        <v>210</v>
      </c>
      <c r="K7" s="34">
        <v>199</v>
      </c>
    </row>
    <row r="9" spans="1:11" x14ac:dyDescent="0.35">
      <c r="F9" s="118" t="s">
        <v>351</v>
      </c>
      <c r="G9" s="118"/>
      <c r="H9" s="118"/>
      <c r="I9" s="118"/>
      <c r="J9" s="118"/>
      <c r="K9" s="118"/>
    </row>
    <row r="10" spans="1:11" x14ac:dyDescent="0.35">
      <c r="F10" s="33" t="s">
        <v>201</v>
      </c>
      <c r="G10" s="33" t="s">
        <v>202</v>
      </c>
      <c r="H10" s="33" t="s">
        <v>248</v>
      </c>
      <c r="I10" s="33" t="s">
        <v>204</v>
      </c>
      <c r="J10" s="33" t="s">
        <v>205</v>
      </c>
      <c r="K10" s="33" t="s">
        <v>206</v>
      </c>
    </row>
    <row r="11" spans="1:11" x14ac:dyDescent="0.35">
      <c r="F11" s="33">
        <v>1</v>
      </c>
      <c r="G11" s="24">
        <v>1</v>
      </c>
      <c r="H11" s="24">
        <v>1</v>
      </c>
      <c r="I11" s="24">
        <v>1</v>
      </c>
      <c r="J11" s="24">
        <v>1</v>
      </c>
      <c r="K11" s="24">
        <v>2</v>
      </c>
    </row>
    <row r="12" spans="1:11" x14ac:dyDescent="0.35">
      <c r="F12" s="33">
        <v>2</v>
      </c>
      <c r="G12" s="24">
        <v>1</v>
      </c>
      <c r="H12" s="24">
        <v>0</v>
      </c>
      <c r="I12" s="24">
        <v>1</v>
      </c>
      <c r="J12" s="24">
        <v>0</v>
      </c>
      <c r="K12" s="24">
        <v>1</v>
      </c>
    </row>
    <row r="13" spans="1:11" x14ac:dyDescent="0.35">
      <c r="F13" s="33">
        <v>3</v>
      </c>
      <c r="G13" s="24">
        <v>0</v>
      </c>
      <c r="H13" s="24">
        <v>0</v>
      </c>
      <c r="I13" s="24">
        <v>0</v>
      </c>
      <c r="J13" s="24">
        <v>1</v>
      </c>
      <c r="K13" s="24">
        <v>0</v>
      </c>
    </row>
    <row r="14" spans="1:11" x14ac:dyDescent="0.35">
      <c r="F14" s="33">
        <v>4</v>
      </c>
      <c r="G14" s="24">
        <v>0</v>
      </c>
      <c r="H14" s="24">
        <v>1</v>
      </c>
      <c r="I14" s="24">
        <v>1</v>
      </c>
      <c r="J14" s="24">
        <v>0</v>
      </c>
      <c r="K14" s="24">
        <v>0</v>
      </c>
    </row>
    <row r="15" spans="1:11" x14ac:dyDescent="0.35">
      <c r="F15" s="33">
        <v>5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</row>
  </sheetData>
  <mergeCells count="3">
    <mergeCell ref="A1:D1"/>
    <mergeCell ref="F1:K1"/>
    <mergeCell ref="F9:K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CBB3-C747-445E-B545-2F4C04F444F0}">
  <dimension ref="A1:Q85"/>
  <sheetViews>
    <sheetView tabSelected="1" topLeftCell="A24" zoomScale="57" zoomScaleNormal="55" workbookViewId="0">
      <selection activeCell="D66" sqref="D66"/>
    </sheetView>
  </sheetViews>
  <sheetFormatPr defaultRowHeight="14.5" x14ac:dyDescent="0.35"/>
  <cols>
    <col min="1" max="2" width="26.81640625" bestFit="1" customWidth="1"/>
    <col min="3" max="3" width="28.6328125" bestFit="1" customWidth="1"/>
    <col min="4" max="4" width="27" bestFit="1" customWidth="1"/>
    <col min="5" max="5" width="20.81640625" bestFit="1" customWidth="1"/>
    <col min="6" max="6" width="18.26953125" customWidth="1"/>
    <col min="7" max="9" width="12.7265625" bestFit="1" customWidth="1"/>
    <col min="14" max="15" width="15.54296875" bestFit="1" customWidth="1"/>
    <col min="16" max="16" width="7.81640625" bestFit="1" customWidth="1"/>
    <col min="17" max="17" width="15.54296875" bestFit="1" customWidth="1"/>
  </cols>
  <sheetData>
    <row r="1" spans="1:9" x14ac:dyDescent="0.35">
      <c r="A1" t="s">
        <v>224</v>
      </c>
    </row>
    <row r="2" spans="1:9" ht="15" thickBot="1" x14ac:dyDescent="0.4"/>
    <row r="3" spans="1:9" x14ac:dyDescent="0.35">
      <c r="A3" s="31" t="s">
        <v>225</v>
      </c>
      <c r="B3" s="31"/>
    </row>
    <row r="4" spans="1:9" x14ac:dyDescent="0.35">
      <c r="A4" t="s">
        <v>226</v>
      </c>
      <c r="B4">
        <v>0.87718864818081799</v>
      </c>
    </row>
    <row r="5" spans="1:9" x14ac:dyDescent="0.35">
      <c r="A5" t="s">
        <v>227</v>
      </c>
      <c r="B5">
        <v>0.76945992449729084</v>
      </c>
    </row>
    <row r="6" spans="1:9" x14ac:dyDescent="0.35">
      <c r="A6" t="s">
        <v>228</v>
      </c>
      <c r="B6">
        <v>0.76712730990535793</v>
      </c>
    </row>
    <row r="7" spans="1:9" x14ac:dyDescent="0.35">
      <c r="A7" t="s">
        <v>229</v>
      </c>
      <c r="B7">
        <v>0.72790095317915526</v>
      </c>
    </row>
    <row r="8" spans="1:9" ht="15" thickBot="1" x14ac:dyDescent="0.4">
      <c r="A8" s="29" t="s">
        <v>230</v>
      </c>
      <c r="B8" s="29">
        <v>600</v>
      </c>
    </row>
    <row r="10" spans="1:9" x14ac:dyDescent="0.35">
      <c r="A10" t="s">
        <v>231</v>
      </c>
    </row>
    <row r="11" spans="1:9" x14ac:dyDescent="0.35">
      <c r="A11" s="59"/>
      <c r="B11" s="59" t="s">
        <v>236</v>
      </c>
      <c r="C11" s="59" t="s">
        <v>237</v>
      </c>
      <c r="D11" s="59" t="s">
        <v>238</v>
      </c>
      <c r="E11" s="59" t="s">
        <v>239</v>
      </c>
      <c r="F11" s="59" t="s">
        <v>240</v>
      </c>
    </row>
    <row r="12" spans="1:9" x14ac:dyDescent="0.35">
      <c r="A12" s="13" t="s">
        <v>232</v>
      </c>
      <c r="B12" s="62">
        <v>6</v>
      </c>
      <c r="C12" s="13">
        <v>1048.67</v>
      </c>
      <c r="D12" s="13">
        <v>174.77833333333334</v>
      </c>
      <c r="E12" s="13">
        <v>329.87014964167707</v>
      </c>
      <c r="F12" s="13">
        <v>2.9851412343687141E-185</v>
      </c>
    </row>
    <row r="13" spans="1:9" x14ac:dyDescent="0.35">
      <c r="A13" s="13" t="s">
        <v>233</v>
      </c>
      <c r="B13" s="13">
        <v>593</v>
      </c>
      <c r="C13" s="13">
        <v>314.19499999999982</v>
      </c>
      <c r="D13" s="13">
        <v>0.52983979763912281</v>
      </c>
      <c r="E13" s="13"/>
      <c r="F13" s="13"/>
    </row>
    <row r="14" spans="1:9" ht="15" thickBot="1" x14ac:dyDescent="0.4">
      <c r="A14" s="29" t="s">
        <v>234</v>
      </c>
      <c r="B14" s="29">
        <v>599</v>
      </c>
      <c r="C14" s="29">
        <v>1362.8649999999998</v>
      </c>
      <c r="D14" s="29"/>
      <c r="E14" s="29"/>
      <c r="F14" s="29"/>
    </row>
    <row r="16" spans="1:9" x14ac:dyDescent="0.35">
      <c r="A16" s="59"/>
      <c r="B16" s="59" t="s">
        <v>241</v>
      </c>
      <c r="C16" s="59" t="s">
        <v>229</v>
      </c>
      <c r="D16" s="59" t="s">
        <v>242</v>
      </c>
      <c r="E16" s="59" t="s">
        <v>243</v>
      </c>
      <c r="F16" s="59" t="s">
        <v>244</v>
      </c>
      <c r="G16" s="59" t="s">
        <v>245</v>
      </c>
      <c r="H16" s="59" t="s">
        <v>246</v>
      </c>
      <c r="I16" s="59" t="s">
        <v>247</v>
      </c>
    </row>
    <row r="17" spans="1:9" x14ac:dyDescent="0.35">
      <c r="A17" s="13" t="s">
        <v>235</v>
      </c>
      <c r="B17" s="13">
        <v>4.54</v>
      </c>
      <c r="C17" s="13">
        <v>7.8622288861300502E-2</v>
      </c>
      <c r="D17" s="13">
        <v>57.744439468165645</v>
      </c>
      <c r="E17" s="60">
        <v>1.28387286312735E-245</v>
      </c>
      <c r="F17" s="13">
        <v>4.3855879883097595</v>
      </c>
      <c r="G17" s="13">
        <v>4.6944120116902424</v>
      </c>
      <c r="H17" s="13">
        <v>4.3855879883097595</v>
      </c>
      <c r="I17" s="13">
        <v>4.6944120116902424</v>
      </c>
    </row>
    <row r="18" spans="1:9" x14ac:dyDescent="0.35">
      <c r="A18" s="13" t="s">
        <v>213</v>
      </c>
      <c r="B18" s="13">
        <v>4.3333333333331399E-2</v>
      </c>
      <c r="C18" s="13">
        <v>5.9432863952481346E-2</v>
      </c>
      <c r="D18" s="13">
        <v>0.72911400278435035</v>
      </c>
      <c r="E18" s="13">
        <v>0.46621979412165798</v>
      </c>
      <c r="F18" s="13">
        <v>-7.3391175916261736E-2</v>
      </c>
      <c r="G18" s="13">
        <v>0.16005784258292455</v>
      </c>
      <c r="H18" s="13">
        <v>-7.3391175916261736E-2</v>
      </c>
      <c r="I18" s="13">
        <v>0.16005784258292455</v>
      </c>
    </row>
    <row r="19" spans="1:9" x14ac:dyDescent="0.35">
      <c r="A19" s="13" t="s">
        <v>215</v>
      </c>
      <c r="B19" s="13">
        <v>0.94333333333333202</v>
      </c>
      <c r="C19" s="13">
        <v>5.9432863952481346E-2</v>
      </c>
      <c r="D19" s="13">
        <v>15.872250983690773</v>
      </c>
      <c r="E19" s="61">
        <v>1.5308084274049399E-47</v>
      </c>
      <c r="F19" s="13">
        <v>0.82660882408373881</v>
      </c>
      <c r="G19" s="13">
        <v>1.060057842582925</v>
      </c>
      <c r="H19" s="13">
        <v>0.82660882408373881</v>
      </c>
      <c r="I19" s="13">
        <v>1.060057842582925</v>
      </c>
    </row>
    <row r="20" spans="1:9" x14ac:dyDescent="0.35">
      <c r="A20" s="13" t="s">
        <v>217</v>
      </c>
      <c r="B20" s="13">
        <v>0.16333333333333416</v>
      </c>
      <c r="C20" s="13">
        <v>5.9432863952481381E-2</v>
      </c>
      <c r="D20" s="13">
        <v>2.748198933571917</v>
      </c>
      <c r="E20" s="13">
        <v>6.1747405879178209E-3</v>
      </c>
      <c r="F20" s="13">
        <v>4.6608824083740952E-2</v>
      </c>
      <c r="G20" s="13">
        <v>0.28005784258292737</v>
      </c>
      <c r="H20" s="13">
        <v>4.6608824083740952E-2</v>
      </c>
      <c r="I20" s="13">
        <v>0.28005784258292737</v>
      </c>
    </row>
    <row r="21" spans="1:9" x14ac:dyDescent="0.35">
      <c r="A21" s="13" t="s">
        <v>219</v>
      </c>
      <c r="B21" s="13">
        <v>0.76999999999999824</v>
      </c>
      <c r="C21" s="13">
        <v>5.9432863952481263E-2</v>
      </c>
      <c r="D21" s="13">
        <v>12.955794972553253</v>
      </c>
      <c r="E21" s="13">
        <v>5.5716008524744316E-34</v>
      </c>
      <c r="F21" s="13">
        <v>0.65327549075040525</v>
      </c>
      <c r="G21" s="13">
        <v>0.88672450924959123</v>
      </c>
      <c r="H21" s="13">
        <v>0.65327549075040525</v>
      </c>
      <c r="I21" s="13">
        <v>0.88672450924959123</v>
      </c>
    </row>
    <row r="22" spans="1:9" x14ac:dyDescent="0.35">
      <c r="A22" s="13">
        <v>249</v>
      </c>
      <c r="B22" s="13">
        <v>-1.6950000000000012</v>
      </c>
      <c r="C22" s="13">
        <v>7.2790095317915665E-2</v>
      </c>
      <c r="D22" s="13">
        <v>-23.286135189093709</v>
      </c>
      <c r="E22" s="13">
        <v>1.1262532269683868E-85</v>
      </c>
      <c r="F22" s="13">
        <v>-1.8379577440691406</v>
      </c>
      <c r="G22" s="13">
        <v>-1.5520422559308618</v>
      </c>
      <c r="H22" s="13">
        <v>-1.8379577440691406</v>
      </c>
      <c r="I22" s="13">
        <v>-1.5520422559308618</v>
      </c>
    </row>
    <row r="23" spans="1:9" x14ac:dyDescent="0.35">
      <c r="A23" s="13">
        <v>399</v>
      </c>
      <c r="B23" s="13">
        <v>-2.8499999999999961</v>
      </c>
      <c r="C23" s="13">
        <v>7.2790095317915374E-2</v>
      </c>
      <c r="D23" s="13">
        <v>-39.153678636529321</v>
      </c>
      <c r="E23" s="13">
        <v>1.4911755251491262E-166</v>
      </c>
      <c r="F23" s="13">
        <v>-2.9929577440691348</v>
      </c>
      <c r="G23" s="13">
        <v>-2.7070422559308573</v>
      </c>
      <c r="H23" s="13">
        <v>-2.9929577440691348</v>
      </c>
      <c r="I23" s="13">
        <v>-2.7070422559308573</v>
      </c>
    </row>
    <row r="25" spans="1:9" ht="15" thickBot="1" x14ac:dyDescent="0.4"/>
    <row r="26" spans="1:9" x14ac:dyDescent="0.35">
      <c r="A26" s="148" t="s">
        <v>253</v>
      </c>
      <c r="B26" s="149"/>
      <c r="C26" s="149"/>
      <c r="D26" s="38"/>
    </row>
    <row r="27" spans="1:9" x14ac:dyDescent="0.35">
      <c r="A27" s="39" t="s">
        <v>235</v>
      </c>
      <c r="B27" s="35"/>
      <c r="C27" s="36">
        <v>4.5199999999999996</v>
      </c>
      <c r="D27" s="40" t="s">
        <v>254</v>
      </c>
    </row>
    <row r="28" spans="1:9" x14ac:dyDescent="0.35">
      <c r="A28" s="140" t="s">
        <v>202</v>
      </c>
      <c r="B28" s="18" t="s">
        <v>207</v>
      </c>
      <c r="C28" s="13">
        <v>0</v>
      </c>
      <c r="D28" s="147" t="s">
        <v>279</v>
      </c>
    </row>
    <row r="29" spans="1:9" x14ac:dyDescent="0.35">
      <c r="A29" s="140"/>
      <c r="B29" s="18" t="s">
        <v>213</v>
      </c>
      <c r="C29">
        <v>4.2999999999999997E-2</v>
      </c>
      <c r="D29" s="147"/>
    </row>
    <row r="30" spans="1:9" x14ac:dyDescent="0.35">
      <c r="A30" s="150" t="s">
        <v>203</v>
      </c>
      <c r="B30" s="15" t="s">
        <v>208</v>
      </c>
      <c r="C30" s="36">
        <v>0</v>
      </c>
      <c r="D30" s="146" t="s">
        <v>215</v>
      </c>
    </row>
    <row r="31" spans="1:9" x14ac:dyDescent="0.35">
      <c r="A31" s="150"/>
      <c r="B31" s="15" t="s">
        <v>215</v>
      </c>
      <c r="C31" s="36">
        <v>0.9</v>
      </c>
      <c r="D31" s="147"/>
    </row>
    <row r="32" spans="1:9" x14ac:dyDescent="0.35">
      <c r="A32" s="145" t="s">
        <v>204</v>
      </c>
      <c r="B32" s="18" t="s">
        <v>280</v>
      </c>
      <c r="C32" s="36">
        <v>0</v>
      </c>
      <c r="D32" s="146" t="s">
        <v>217</v>
      </c>
    </row>
    <row r="33" spans="1:4" x14ac:dyDescent="0.35">
      <c r="A33" s="145"/>
      <c r="B33" s="18" t="s">
        <v>217</v>
      </c>
      <c r="C33" s="37">
        <v>0.16</v>
      </c>
      <c r="D33" s="147"/>
    </row>
    <row r="34" spans="1:4" x14ac:dyDescent="0.35">
      <c r="A34" s="136" t="s">
        <v>255</v>
      </c>
      <c r="B34" s="15" t="s">
        <v>210</v>
      </c>
      <c r="C34" s="36">
        <v>0</v>
      </c>
      <c r="D34" s="138" t="s">
        <v>219</v>
      </c>
    </row>
    <row r="35" spans="1:4" ht="15" thickBot="1" x14ac:dyDescent="0.4">
      <c r="A35" s="137"/>
      <c r="B35" s="15" t="s">
        <v>219</v>
      </c>
      <c r="C35" s="37">
        <v>0.77</v>
      </c>
      <c r="D35" s="139"/>
    </row>
    <row r="36" spans="1:4" x14ac:dyDescent="0.35">
      <c r="A36" s="140" t="s">
        <v>206</v>
      </c>
      <c r="B36" s="18">
        <v>199</v>
      </c>
      <c r="C36" s="42">
        <v>0</v>
      </c>
      <c r="D36" s="142">
        <v>199</v>
      </c>
    </row>
    <row r="37" spans="1:4" x14ac:dyDescent="0.35">
      <c r="A37" s="140"/>
      <c r="B37" s="18">
        <v>249</v>
      </c>
      <c r="C37" s="42">
        <v>-1.6950000000000001</v>
      </c>
      <c r="D37" s="143"/>
    </row>
    <row r="38" spans="1:4" ht="15" thickBot="1" x14ac:dyDescent="0.4">
      <c r="A38" s="141"/>
      <c r="B38" s="41">
        <v>399</v>
      </c>
      <c r="C38" s="43">
        <v>-2.85</v>
      </c>
      <c r="D38" s="144"/>
    </row>
    <row r="39" spans="1:4" ht="15" thickBot="1" x14ac:dyDescent="0.4"/>
    <row r="40" spans="1:4" x14ac:dyDescent="0.35">
      <c r="A40" s="133" t="s">
        <v>274</v>
      </c>
      <c r="B40" s="134"/>
      <c r="C40" s="135"/>
    </row>
    <row r="41" spans="1:4" x14ac:dyDescent="0.35">
      <c r="A41" s="51" t="s">
        <v>211</v>
      </c>
      <c r="B41" s="13" t="s">
        <v>275</v>
      </c>
      <c r="C41" s="52" t="s">
        <v>276</v>
      </c>
    </row>
    <row r="42" spans="1:4" x14ac:dyDescent="0.35">
      <c r="A42" s="51" t="s">
        <v>277</v>
      </c>
      <c r="B42" s="48">
        <f>MAX(C28:C29)-MIN(C28:C29)</f>
        <v>4.2999999999999997E-2</v>
      </c>
      <c r="C42" s="53">
        <f>B42/$B$47</f>
        <v>9.1043828075375813E-3</v>
      </c>
    </row>
    <row r="43" spans="1:4" x14ac:dyDescent="0.35">
      <c r="A43" s="54" t="s">
        <v>203</v>
      </c>
      <c r="B43" s="48">
        <f>MAX(C30:C31)-MIN(C30:C31)</f>
        <v>0.9</v>
      </c>
      <c r="C43" s="53">
        <f>B43/$B$47</f>
        <v>0.19055684946008894</v>
      </c>
    </row>
    <row r="44" spans="1:4" x14ac:dyDescent="0.35">
      <c r="A44" s="54" t="s">
        <v>204</v>
      </c>
      <c r="B44" s="48">
        <f>MAX(C32:C33)-MIN(C32:C33)</f>
        <v>0.16</v>
      </c>
      <c r="C44" s="53">
        <f>B44/$B$47</f>
        <v>3.3876773237349146E-2</v>
      </c>
    </row>
    <row r="45" spans="1:4" x14ac:dyDescent="0.35">
      <c r="A45" s="54" t="s">
        <v>205</v>
      </c>
      <c r="B45" s="48">
        <f>MAX(C34:C35)-MIN(C34:C35)</f>
        <v>0.77</v>
      </c>
      <c r="C45" s="53">
        <f>B45/$B$47</f>
        <v>0.16303197120474275</v>
      </c>
    </row>
    <row r="46" spans="1:4" x14ac:dyDescent="0.35">
      <c r="A46" s="54" t="s">
        <v>206</v>
      </c>
      <c r="B46" s="48">
        <f>MAX(C36:C38)-MIN(C36:C38)</f>
        <v>2.85</v>
      </c>
      <c r="C46" s="53">
        <f>B46/$B$47</f>
        <v>0.60343002329028161</v>
      </c>
    </row>
    <row r="47" spans="1:4" ht="15" thickBot="1" x14ac:dyDescent="0.4">
      <c r="A47" s="55" t="s">
        <v>278</v>
      </c>
      <c r="B47" s="56">
        <f>SUM(B42:B46)</f>
        <v>4.7229999999999999</v>
      </c>
      <c r="C47" s="57"/>
    </row>
    <row r="67" spans="1:14" x14ac:dyDescent="0.35">
      <c r="A67" s="118" t="s">
        <v>360</v>
      </c>
      <c r="B67" s="118"/>
      <c r="C67" s="118"/>
      <c r="D67" s="118"/>
      <c r="E67" s="118"/>
      <c r="F67" s="118"/>
    </row>
    <row r="68" spans="1:14" x14ac:dyDescent="0.35">
      <c r="A68" s="33" t="s">
        <v>201</v>
      </c>
      <c r="B68" s="33" t="s">
        <v>202</v>
      </c>
      <c r="C68" s="33" t="s">
        <v>248</v>
      </c>
      <c r="D68" s="33" t="s">
        <v>204</v>
      </c>
      <c r="E68" s="33" t="s">
        <v>205</v>
      </c>
      <c r="F68" s="33" t="s">
        <v>206</v>
      </c>
    </row>
    <row r="69" spans="1:14" x14ac:dyDescent="0.35">
      <c r="A69" s="33">
        <v>1</v>
      </c>
      <c r="B69" s="24">
        <v>1</v>
      </c>
      <c r="C69" s="24">
        <v>1</v>
      </c>
      <c r="D69" s="24">
        <v>1</v>
      </c>
      <c r="E69" s="24">
        <v>1</v>
      </c>
      <c r="F69" s="24">
        <v>2</v>
      </c>
    </row>
    <row r="70" spans="1:14" x14ac:dyDescent="0.35">
      <c r="A70" s="33">
        <v>2</v>
      </c>
      <c r="B70" s="24">
        <v>1</v>
      </c>
      <c r="C70" s="24">
        <v>0</v>
      </c>
      <c r="D70" s="24">
        <v>1</v>
      </c>
      <c r="E70" s="24">
        <v>0</v>
      </c>
      <c r="F70" s="24">
        <v>1</v>
      </c>
    </row>
    <row r="71" spans="1:14" x14ac:dyDescent="0.35">
      <c r="A71" s="33">
        <v>3</v>
      </c>
      <c r="B71" s="24">
        <v>0</v>
      </c>
      <c r="C71" s="24">
        <v>0</v>
      </c>
      <c r="D71" s="24">
        <v>0</v>
      </c>
      <c r="E71" s="24">
        <v>1</v>
      </c>
      <c r="F71" s="24">
        <v>0</v>
      </c>
    </row>
    <row r="72" spans="1:14" x14ac:dyDescent="0.35">
      <c r="A72" s="33">
        <v>4</v>
      </c>
      <c r="B72" s="24">
        <v>0</v>
      </c>
      <c r="C72" s="24">
        <v>1</v>
      </c>
      <c r="D72" s="24">
        <v>1</v>
      </c>
      <c r="E72" s="24">
        <v>0</v>
      </c>
      <c r="F72" s="24">
        <v>0</v>
      </c>
    </row>
    <row r="73" spans="1:14" x14ac:dyDescent="0.35">
      <c r="A73" s="33">
        <v>5</v>
      </c>
      <c r="B73" s="24">
        <v>0</v>
      </c>
      <c r="C73" s="24">
        <v>0</v>
      </c>
      <c r="D73" s="24">
        <v>0</v>
      </c>
      <c r="E73" s="24">
        <v>0</v>
      </c>
      <c r="F73" s="24">
        <v>0</v>
      </c>
    </row>
    <row r="79" spans="1:14" ht="15" thickBot="1" x14ac:dyDescent="0.4">
      <c r="A79" s="93" t="s">
        <v>359</v>
      </c>
    </row>
    <row r="80" spans="1:14" ht="15" thickBot="1" x14ac:dyDescent="0.4">
      <c r="A80" s="99"/>
      <c r="B80" s="58" t="str" cm="1">
        <f t="array" ref="B80:L80">TRANSPOSE(B28:B38)</f>
        <v>Basic Health Tracking</v>
      </c>
      <c r="C80" s="58" t="str">
        <v>Comprehensive Health Tracking</v>
      </c>
      <c r="D80" s="58" t="str">
        <v>Standard Connectivity</v>
      </c>
      <c r="E80" s="58" t="str">
        <v>Enhanced Connectivity</v>
      </c>
      <c r="F80" s="58" t="str">
        <v>Minimliast</v>
      </c>
      <c r="G80" s="58" t="str">
        <v>Sporty Design</v>
      </c>
      <c r="H80" s="58" t="str">
        <v>Google Fitbit</v>
      </c>
      <c r="I80" s="58" t="str">
        <v>Apple</v>
      </c>
      <c r="J80" s="58">
        <v>199</v>
      </c>
      <c r="K80" s="58">
        <v>249</v>
      </c>
      <c r="L80" s="100">
        <v>399</v>
      </c>
      <c r="M80" s="101" t="s">
        <v>352</v>
      </c>
      <c r="N80" s="92" t="s">
        <v>353</v>
      </c>
    </row>
    <row r="81" spans="1:17" x14ac:dyDescent="0.35">
      <c r="A81" s="94" t="s">
        <v>354</v>
      </c>
      <c r="B81" s="98">
        <v>0</v>
      </c>
      <c r="C81" s="98">
        <v>1</v>
      </c>
      <c r="D81" s="98">
        <v>0</v>
      </c>
      <c r="E81" s="98">
        <v>1</v>
      </c>
      <c r="F81" s="98">
        <v>0</v>
      </c>
      <c r="G81" s="98">
        <v>1</v>
      </c>
      <c r="H81" s="98">
        <v>0</v>
      </c>
      <c r="I81" s="98">
        <v>1</v>
      </c>
      <c r="J81" s="98">
        <v>0</v>
      </c>
      <c r="K81" s="98">
        <v>0</v>
      </c>
      <c r="L81" s="98">
        <v>1</v>
      </c>
      <c r="M81" s="95">
        <f>$C$27+ $C$28*B81+$C$29*C81+$C$30*D81+$C$31*E81+$C$32*F81+$C$33*G81+$C$34*H81+$C$35*I81+$C$36*J81+$C$37*K81+$C$38*L81</f>
        <v>3.5430000000000006</v>
      </c>
      <c r="N81" s="131" t="str">
        <f>INDEX(A81:A85, MATCH(MAX(M81:M85), M81:M85, 0))</f>
        <v>Product D</v>
      </c>
    </row>
    <row r="82" spans="1:17" ht="15" thickBot="1" x14ac:dyDescent="0.4">
      <c r="A82" s="94" t="s">
        <v>355</v>
      </c>
      <c r="B82" s="98">
        <v>0</v>
      </c>
      <c r="C82" s="98">
        <v>1</v>
      </c>
      <c r="D82" s="98">
        <v>1</v>
      </c>
      <c r="E82" s="98">
        <v>0</v>
      </c>
      <c r="F82" s="98">
        <v>0</v>
      </c>
      <c r="G82" s="98">
        <v>1</v>
      </c>
      <c r="H82" s="98">
        <v>1</v>
      </c>
      <c r="I82" s="98">
        <v>0</v>
      </c>
      <c r="J82" s="98">
        <v>0</v>
      </c>
      <c r="K82" s="98">
        <v>1</v>
      </c>
      <c r="L82" s="98">
        <v>0</v>
      </c>
      <c r="M82" s="95">
        <f t="shared" ref="M82:M85" si="0">$C$27+ $C$28*B82+$C$29*C82+$C$30*D82+$C$31*E82+$C$32*F82+$C$33*G82+$C$34*H82+$C$35*I82+$C$36*J82+$C$37*K82+$C$38*L82</f>
        <v>3.0279999999999996</v>
      </c>
      <c r="N82" s="132"/>
    </row>
    <row r="83" spans="1:17" x14ac:dyDescent="0.35">
      <c r="A83" s="94" t="s">
        <v>356</v>
      </c>
      <c r="B83" s="98">
        <v>1</v>
      </c>
      <c r="C83" s="98">
        <v>0</v>
      </c>
      <c r="D83" s="98">
        <v>1</v>
      </c>
      <c r="E83" s="98">
        <v>0</v>
      </c>
      <c r="F83" s="98">
        <v>1</v>
      </c>
      <c r="G83" s="98">
        <v>0</v>
      </c>
      <c r="H83" s="98">
        <v>0</v>
      </c>
      <c r="I83" s="98">
        <v>1</v>
      </c>
      <c r="J83" s="98">
        <v>1</v>
      </c>
      <c r="K83" s="98">
        <v>0</v>
      </c>
      <c r="L83" s="98">
        <v>0</v>
      </c>
      <c r="M83" s="95">
        <f t="shared" si="0"/>
        <v>5.2899999999999991</v>
      </c>
      <c r="N83" s="102"/>
      <c r="P83" s="95"/>
      <c r="Q83" s="8"/>
    </row>
    <row r="84" spans="1:17" x14ac:dyDescent="0.35">
      <c r="A84" s="105" t="s">
        <v>357</v>
      </c>
      <c r="B84" s="106">
        <v>1</v>
      </c>
      <c r="C84" s="106">
        <v>0</v>
      </c>
      <c r="D84" s="106">
        <v>0</v>
      </c>
      <c r="E84" s="106">
        <v>1</v>
      </c>
      <c r="F84" s="106">
        <v>0</v>
      </c>
      <c r="G84" s="106">
        <v>1</v>
      </c>
      <c r="H84" s="106">
        <v>1</v>
      </c>
      <c r="I84" s="106">
        <v>0</v>
      </c>
      <c r="J84" s="106">
        <v>1</v>
      </c>
      <c r="K84" s="106">
        <v>0</v>
      </c>
      <c r="L84" s="106">
        <v>0</v>
      </c>
      <c r="M84" s="107">
        <f t="shared" si="0"/>
        <v>5.58</v>
      </c>
      <c r="N84" s="102"/>
      <c r="P84" s="95"/>
      <c r="Q84" s="8"/>
    </row>
    <row r="85" spans="1:17" ht="15" thickBot="1" x14ac:dyDescent="0.4">
      <c r="A85" s="96" t="s">
        <v>358</v>
      </c>
      <c r="B85" s="97">
        <v>1</v>
      </c>
      <c r="C85" s="97">
        <v>0</v>
      </c>
      <c r="D85" s="97">
        <v>1</v>
      </c>
      <c r="E85" s="97">
        <v>0</v>
      </c>
      <c r="F85" s="97">
        <v>1</v>
      </c>
      <c r="G85" s="97">
        <v>0</v>
      </c>
      <c r="H85" s="97">
        <v>1</v>
      </c>
      <c r="I85" s="97">
        <v>0</v>
      </c>
      <c r="J85" s="97">
        <v>1</v>
      </c>
      <c r="K85" s="97">
        <v>0</v>
      </c>
      <c r="L85" s="97">
        <v>0</v>
      </c>
      <c r="M85" s="103">
        <f t="shared" si="0"/>
        <v>4.5199999999999996</v>
      </c>
      <c r="N85" s="104"/>
      <c r="O85" s="29"/>
      <c r="P85" s="95"/>
      <c r="Q85" s="8"/>
    </row>
  </sheetData>
  <mergeCells count="14">
    <mergeCell ref="A32:A33"/>
    <mergeCell ref="D32:D33"/>
    <mergeCell ref="A26:C26"/>
    <mergeCell ref="A28:A29"/>
    <mergeCell ref="D28:D29"/>
    <mergeCell ref="A30:A31"/>
    <mergeCell ref="D30:D31"/>
    <mergeCell ref="A67:F67"/>
    <mergeCell ref="N81:N82"/>
    <mergeCell ref="A40:C40"/>
    <mergeCell ref="A34:A35"/>
    <mergeCell ref="D34:D35"/>
    <mergeCell ref="A36:A38"/>
    <mergeCell ref="D36:D38"/>
  </mergeCells>
  <conditionalFormatting sqref="E17:E23">
    <cfRule type="cellIs" dxfId="0" priority="1" operator="less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Profiles</vt:lpstr>
      <vt:lpstr>Dummy Variables</vt:lpstr>
      <vt:lpstr>Interview Response </vt:lpstr>
      <vt:lpstr>Cleaned Data</vt:lpstr>
      <vt:lpstr>Normalization</vt:lpstr>
      <vt:lpstr>Correlation</vt:lpstr>
      <vt:lpstr>Response </vt:lpstr>
      <vt:lpstr>Data Normalization Iteration 2</vt:lpstr>
      <vt:lpstr>Normalized Data iteration 2</vt:lpstr>
      <vt:lpstr>Correlation iteration 2</vt:lpstr>
      <vt:lpstr>Cluster</vt:lpstr>
      <vt:lpstr>Cluster and MS Analysis </vt:lpstr>
      <vt:lpstr>Market Segmentation Profile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Pathak</dc:creator>
  <cp:lastModifiedBy>ASHUTOSH VINAY PATHAK</cp:lastModifiedBy>
  <dcterms:created xsi:type="dcterms:W3CDTF">2024-12-11T12:50:00Z</dcterms:created>
  <dcterms:modified xsi:type="dcterms:W3CDTF">2025-11-01T12:57:25Z</dcterms:modified>
</cp:coreProperties>
</file>